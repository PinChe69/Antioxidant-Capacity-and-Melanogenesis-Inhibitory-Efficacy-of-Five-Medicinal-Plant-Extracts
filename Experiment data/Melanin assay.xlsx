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55E47793-CD3D-44DA-AE63-B59C7D233DE8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Melanin assay" sheetId="1" r:id="rId1"/>
    <sheet name="raw data CRE" sheetId="2" r:id="rId2"/>
    <sheet name="raw data FEE" sheetId="3" r:id="rId3"/>
    <sheet name="raw data IAE" sheetId="4" r:id="rId4"/>
    <sheet name="raw data RPE" sheetId="5" r:id="rId5"/>
    <sheet name="raw data R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5" l="1"/>
  <c r="D21" i="5"/>
  <c r="E21" i="5"/>
  <c r="B21" i="5"/>
  <c r="C14" i="4"/>
  <c r="D14" i="4"/>
  <c r="E14" i="4"/>
  <c r="B14" i="4"/>
  <c r="C14" i="3"/>
  <c r="D14" i="3"/>
  <c r="E14" i="3"/>
  <c r="B14" i="3"/>
  <c r="E35" i="3"/>
  <c r="D35" i="3"/>
  <c r="C35" i="3"/>
  <c r="B35" i="3"/>
  <c r="E28" i="3"/>
  <c r="D28" i="3"/>
  <c r="C28" i="3"/>
  <c r="B28" i="3"/>
  <c r="E27" i="2"/>
  <c r="D27" i="2"/>
  <c r="C27" i="2"/>
  <c r="B27" i="2"/>
  <c r="E28" i="5"/>
  <c r="D28" i="5"/>
  <c r="C28" i="5"/>
  <c r="B28" i="5"/>
  <c r="E20" i="5"/>
  <c r="D20" i="5"/>
  <c r="C20" i="5"/>
  <c r="B20" i="5"/>
  <c r="E13" i="5"/>
  <c r="D13" i="5"/>
  <c r="C13" i="5"/>
  <c r="B13" i="5"/>
  <c r="C6" i="5"/>
  <c r="D6" i="5"/>
  <c r="E6" i="5"/>
  <c r="B6" i="5"/>
  <c r="E21" i="4"/>
  <c r="D21" i="4"/>
  <c r="C21" i="4"/>
  <c r="B21" i="4"/>
  <c r="E13" i="4"/>
  <c r="D13" i="4"/>
  <c r="C13" i="4"/>
  <c r="B13" i="4"/>
  <c r="E6" i="4"/>
  <c r="D6" i="4"/>
  <c r="C6" i="4"/>
  <c r="B6" i="4"/>
  <c r="C13" i="3"/>
  <c r="E21" i="3"/>
  <c r="D21" i="3"/>
  <c r="C21" i="3"/>
  <c r="B21" i="3"/>
  <c r="E13" i="3"/>
  <c r="D13" i="3"/>
  <c r="C6" i="3"/>
  <c r="D6" i="3"/>
  <c r="E6" i="3"/>
  <c r="B6" i="3"/>
  <c r="E20" i="6"/>
  <c r="D20" i="6"/>
  <c r="C20" i="6"/>
  <c r="B20" i="6"/>
  <c r="E13" i="6"/>
  <c r="D13" i="6"/>
  <c r="C13" i="6"/>
  <c r="B13" i="6"/>
  <c r="E6" i="6"/>
  <c r="D6" i="6"/>
  <c r="C6" i="6"/>
  <c r="B6" i="6"/>
  <c r="C20" i="2"/>
  <c r="D20" i="2"/>
  <c r="E20" i="2"/>
  <c r="B20" i="2"/>
  <c r="C13" i="2"/>
  <c r="D13" i="2"/>
  <c r="E13" i="2"/>
  <c r="B13" i="2"/>
  <c r="C6" i="2"/>
  <c r="D6" i="2"/>
  <c r="E6" i="2"/>
  <c r="B6" i="2"/>
  <c r="B13" i="3" l="1"/>
</calcChain>
</file>

<file path=xl/sharedStrings.xml><?xml version="1.0" encoding="utf-8"?>
<sst xmlns="http://schemas.openxmlformats.org/spreadsheetml/2006/main" count="149" uniqueCount="28">
  <si>
    <t>melanin assay</t>
    <phoneticPr fontId="6" type="noConversion"/>
  </si>
  <si>
    <t>CRE</t>
    <phoneticPr fontId="6" type="noConversion"/>
  </si>
  <si>
    <t>alpha-MSH 0.2uM</t>
    <phoneticPr fontId="6" type="noConversion"/>
  </si>
  <si>
    <t>-</t>
    <phoneticPr fontId="6" type="noConversion"/>
  </si>
  <si>
    <t>+</t>
    <phoneticPr fontId="6" type="noConversion"/>
  </si>
  <si>
    <t>Concentration</t>
  </si>
  <si>
    <t>%</t>
    <phoneticPr fontId="6" type="noConversion"/>
  </si>
  <si>
    <t>FEE</t>
    <phoneticPr fontId="6" type="noConversion"/>
  </si>
  <si>
    <t>IAE</t>
    <phoneticPr fontId="6" type="noConversion"/>
  </si>
  <si>
    <t>RPE</t>
    <phoneticPr fontId="6" type="noConversion"/>
  </si>
  <si>
    <t>RTE</t>
    <phoneticPr fontId="6" type="noConversion"/>
  </si>
  <si>
    <t>dmso</t>
  </si>
  <si>
    <t>amsh</t>
  </si>
  <si>
    <t>a+cr10</t>
  </si>
  <si>
    <t>a+cre20</t>
  </si>
  <si>
    <t>a+rte20</t>
  </si>
  <si>
    <t>a+rte40</t>
  </si>
  <si>
    <t>mean</t>
  </si>
  <si>
    <t>mean</t>
    <phoneticPr fontId="5" type="noConversion"/>
  </si>
  <si>
    <t>a+rpe20</t>
  </si>
  <si>
    <t>a+rpe40</t>
  </si>
  <si>
    <t>M+FEE 20</t>
    <phoneticPr fontId="5" type="noConversion"/>
  </si>
  <si>
    <t>M+FEE 40</t>
    <phoneticPr fontId="5" type="noConversion"/>
  </si>
  <si>
    <r>
      <t>M</t>
    </r>
    <r>
      <rPr>
        <sz val="12"/>
        <color theme="1"/>
        <rFont val="新細明體"/>
        <family val="2"/>
        <charset val="136"/>
        <scheme val="minor"/>
      </rPr>
      <t>+IAE 25</t>
    </r>
    <phoneticPr fontId="5" type="noConversion"/>
  </si>
  <si>
    <t>M+IAE 50</t>
  </si>
  <si>
    <t>M+IAE 50</t>
    <phoneticPr fontId="5" type="noConversion"/>
  </si>
  <si>
    <t>M+IAE 25</t>
  </si>
  <si>
    <t>normalize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</si>
</sst>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</cellStyleXfs>
  <cellXfs count="25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8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3" fillId="0" borderId="0" xfId="1">
      <alignment vertical="center"/>
    </xf>
    <xf numFmtId="0" fontId="9" fillId="0" borderId="0" xfId="1" applyFont="1">
      <alignment vertical="center"/>
    </xf>
    <xf numFmtId="0" fontId="2" fillId="0" borderId="0" xfId="3">
      <alignment vertical="center"/>
    </xf>
    <xf numFmtId="0" fontId="2" fillId="0" borderId="0" xfId="1" applyFo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1" applyFont="1">
      <alignment vertical="center"/>
    </xf>
  </cellXfs>
  <cellStyles count="4">
    <cellStyle name="一般" xfId="0" builtinId="0"/>
    <cellStyle name="一般 2" xfId="2" xr:uid="{7DCDD9D9-D7D1-4361-BCAC-19A895375D34}"/>
    <cellStyle name="一般 3" xfId="1" xr:uid="{AB019969-DC57-401B-AE93-DF0D5D90474D}"/>
    <cellStyle name="一般 4" xfId="3" xr:uid="{8863AA41-0C1C-47C0-B425-EEDA9AABC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0"/>
  <sheetViews>
    <sheetView zoomScale="55" zoomScaleNormal="55" workbookViewId="0">
      <selection activeCell="I15" sqref="I15"/>
    </sheetView>
  </sheetViews>
  <sheetFormatPr defaultRowHeight="15" x14ac:dyDescent="0.45"/>
  <sheetData>
    <row r="1" spans="2:6" ht="15.4" thickBot="1" x14ac:dyDescent="0.5"/>
    <row r="2" spans="2:6" ht="15.4" x14ac:dyDescent="0.45">
      <c r="B2" s="1" t="s">
        <v>0</v>
      </c>
      <c r="C2" s="2"/>
      <c r="D2" s="2"/>
      <c r="E2" s="2"/>
      <c r="F2" s="3"/>
    </row>
    <row r="3" spans="2:6" ht="15.4" x14ac:dyDescent="0.45">
      <c r="B3" s="4" t="s">
        <v>1</v>
      </c>
      <c r="C3" s="5"/>
      <c r="D3" s="5"/>
      <c r="E3" s="5"/>
      <c r="F3" s="6"/>
    </row>
    <row r="4" spans="2:6" ht="15.4" x14ac:dyDescent="0.45">
      <c r="B4" s="7" t="s">
        <v>2</v>
      </c>
      <c r="C4" s="8" t="s">
        <v>3</v>
      </c>
      <c r="D4" s="8" t="s">
        <v>4</v>
      </c>
      <c r="E4" s="8" t="s">
        <v>4</v>
      </c>
      <c r="F4" s="9" t="s">
        <v>4</v>
      </c>
    </row>
    <row r="5" spans="2:6" ht="15.4" x14ac:dyDescent="0.45">
      <c r="B5" s="7" t="s">
        <v>5</v>
      </c>
      <c r="C5" s="8" t="s">
        <v>3</v>
      </c>
      <c r="D5" s="8" t="s">
        <v>3</v>
      </c>
      <c r="E5" s="8">
        <v>10</v>
      </c>
      <c r="F5" s="9">
        <v>20</v>
      </c>
    </row>
    <row r="6" spans="2:6" ht="15.4" x14ac:dyDescent="0.45">
      <c r="B6" s="20" t="s">
        <v>6</v>
      </c>
      <c r="C6" s="10">
        <v>100</v>
      </c>
      <c r="D6" s="10">
        <v>187.9522</v>
      </c>
      <c r="E6" s="10">
        <v>149.7157</v>
      </c>
      <c r="F6" s="11">
        <v>96.31644</v>
      </c>
    </row>
    <row r="7" spans="2:6" ht="15.4" x14ac:dyDescent="0.45">
      <c r="B7" s="20"/>
      <c r="C7" s="10">
        <v>100</v>
      </c>
      <c r="D7" s="10">
        <v>162.6849</v>
      </c>
      <c r="E7" s="10">
        <v>176.3115</v>
      </c>
      <c r="F7" s="11">
        <v>129.6549</v>
      </c>
    </row>
    <row r="8" spans="2:6" ht="15.4" x14ac:dyDescent="0.45">
      <c r="B8" s="20"/>
      <c r="C8" s="10">
        <v>100</v>
      </c>
      <c r="D8" s="10">
        <v>198.8706</v>
      </c>
      <c r="E8" s="10">
        <v>162.70609999999999</v>
      </c>
      <c r="F8" s="11">
        <v>84.120170000000002</v>
      </c>
    </row>
    <row r="9" spans="2:6" ht="15.4" x14ac:dyDescent="0.45">
      <c r="B9" s="21"/>
      <c r="C9" s="12">
        <v>100</v>
      </c>
      <c r="D9" s="12">
        <v>140.29769999999999</v>
      </c>
      <c r="E9" s="12">
        <v>150.51329999999999</v>
      </c>
      <c r="F9" s="13">
        <v>97.920940000000002</v>
      </c>
    </row>
    <row r="10" spans="2:6" ht="15.4" x14ac:dyDescent="0.45">
      <c r="B10" s="7"/>
      <c r="C10" s="8"/>
      <c r="D10" s="8"/>
      <c r="E10" s="8"/>
      <c r="F10" s="9"/>
    </row>
    <row r="11" spans="2:6" ht="15.4" x14ac:dyDescent="0.45">
      <c r="B11" s="4" t="s">
        <v>7</v>
      </c>
      <c r="C11" s="5"/>
      <c r="D11" s="5"/>
      <c r="E11" s="5"/>
      <c r="F11" s="6"/>
    </row>
    <row r="12" spans="2:6" ht="15.4" x14ac:dyDescent="0.45">
      <c r="B12" s="7" t="s">
        <v>2</v>
      </c>
      <c r="C12" s="8" t="s">
        <v>3</v>
      </c>
      <c r="D12" s="8" t="s">
        <v>4</v>
      </c>
      <c r="E12" s="8" t="s">
        <v>4</v>
      </c>
      <c r="F12" s="9" t="s">
        <v>4</v>
      </c>
    </row>
    <row r="13" spans="2:6" ht="15.4" x14ac:dyDescent="0.45">
      <c r="B13" s="7" t="s">
        <v>5</v>
      </c>
      <c r="C13" s="8" t="s">
        <v>3</v>
      </c>
      <c r="D13" s="8" t="s">
        <v>3</v>
      </c>
      <c r="E13" s="8">
        <v>20</v>
      </c>
      <c r="F13" s="9">
        <v>40</v>
      </c>
    </row>
    <row r="14" spans="2:6" ht="15.4" x14ac:dyDescent="0.45">
      <c r="B14" s="20" t="s">
        <v>6</v>
      </c>
      <c r="C14" s="10">
        <v>100</v>
      </c>
      <c r="D14" s="10">
        <v>175.48070000000001</v>
      </c>
      <c r="E14" s="10">
        <v>189.03870000000001</v>
      </c>
      <c r="F14" s="11">
        <v>165.96629999999999</v>
      </c>
    </row>
    <row r="15" spans="2:6" ht="15.4" x14ac:dyDescent="0.45">
      <c r="B15" s="20"/>
      <c r="C15" s="10">
        <v>100</v>
      </c>
      <c r="D15" s="10">
        <v>164.63050000000001</v>
      </c>
      <c r="E15" s="10">
        <v>170.0984</v>
      </c>
      <c r="F15" s="11">
        <v>133.4248</v>
      </c>
    </row>
    <row r="16" spans="2:6" ht="15.4" x14ac:dyDescent="0.45">
      <c r="B16" s="20"/>
      <c r="C16" s="10">
        <v>100</v>
      </c>
      <c r="D16" s="10">
        <v>172.30510000000001</v>
      </c>
      <c r="E16" s="10">
        <v>156.43209999999999</v>
      </c>
      <c r="F16" s="11">
        <v>131.17740000000001</v>
      </c>
    </row>
    <row r="17" spans="2:6" ht="15.4" x14ac:dyDescent="0.45">
      <c r="B17" s="20"/>
      <c r="C17" s="10">
        <v>100</v>
      </c>
      <c r="D17" s="10">
        <v>136.08779999999999</v>
      </c>
      <c r="E17" s="10">
        <v>180.3897</v>
      </c>
      <c r="F17" s="11">
        <v>172.20849999999999</v>
      </c>
    </row>
    <row r="18" spans="2:6" ht="15.4" x14ac:dyDescent="0.45">
      <c r="B18" s="21"/>
      <c r="C18" s="12">
        <v>100</v>
      </c>
      <c r="D18" s="12">
        <v>136.48509999999999</v>
      </c>
      <c r="E18" s="12">
        <v>166.70840000000001</v>
      </c>
      <c r="F18" s="13">
        <v>148.1737</v>
      </c>
    </row>
    <row r="19" spans="2:6" ht="15.4" x14ac:dyDescent="0.45">
      <c r="B19" s="7"/>
      <c r="C19" s="8"/>
      <c r="D19" s="8"/>
      <c r="E19" s="8"/>
      <c r="F19" s="9"/>
    </row>
    <row r="20" spans="2:6" ht="15.4" x14ac:dyDescent="0.45">
      <c r="B20" s="4" t="s">
        <v>8</v>
      </c>
      <c r="C20" s="5"/>
      <c r="D20" s="5"/>
      <c r="E20" s="5"/>
      <c r="F20" s="6"/>
    </row>
    <row r="21" spans="2:6" ht="15.4" x14ac:dyDescent="0.45">
      <c r="B21" s="7" t="s">
        <v>2</v>
      </c>
      <c r="C21" s="8" t="s">
        <v>3</v>
      </c>
      <c r="D21" s="8" t="s">
        <v>4</v>
      </c>
      <c r="E21" s="8" t="s">
        <v>4</v>
      </c>
      <c r="F21" s="9" t="s">
        <v>4</v>
      </c>
    </row>
    <row r="22" spans="2:6" ht="15.4" x14ac:dyDescent="0.45">
      <c r="B22" s="7" t="s">
        <v>5</v>
      </c>
      <c r="C22" s="8" t="s">
        <v>3</v>
      </c>
      <c r="D22" s="8" t="s">
        <v>3</v>
      </c>
      <c r="E22" s="8">
        <v>25</v>
      </c>
      <c r="F22" s="9">
        <v>50</v>
      </c>
    </row>
    <row r="23" spans="2:6" ht="15.4" x14ac:dyDescent="0.45">
      <c r="B23" s="20" t="s">
        <v>6</v>
      </c>
      <c r="C23" s="10">
        <v>100</v>
      </c>
      <c r="D23" s="10">
        <v>175.48070000000001</v>
      </c>
      <c r="E23" s="10">
        <v>208.70169999999999</v>
      </c>
      <c r="F23" s="11">
        <v>213.4589</v>
      </c>
    </row>
    <row r="24" spans="2:6" ht="15.4" x14ac:dyDescent="0.45">
      <c r="B24" s="20"/>
      <c r="C24" s="10">
        <v>100</v>
      </c>
      <c r="D24" s="10">
        <v>164.63050000000001</v>
      </c>
      <c r="E24" s="10">
        <v>197.48339999999999</v>
      </c>
      <c r="F24" s="11">
        <v>176.04669999999999</v>
      </c>
    </row>
    <row r="25" spans="2:6" ht="15.4" x14ac:dyDescent="0.45">
      <c r="B25" s="21"/>
      <c r="C25" s="12">
        <v>100</v>
      </c>
      <c r="D25" s="12">
        <v>172.30510000000001</v>
      </c>
      <c r="E25" s="12">
        <v>177.0513</v>
      </c>
      <c r="F25" s="13">
        <v>136.86330000000001</v>
      </c>
    </row>
    <row r="26" spans="2:6" ht="15.4" x14ac:dyDescent="0.45">
      <c r="B26" s="7"/>
      <c r="C26" s="8"/>
      <c r="D26" s="8"/>
      <c r="E26" s="8"/>
      <c r="F26" s="9"/>
    </row>
    <row r="27" spans="2:6" ht="15.4" x14ac:dyDescent="0.45">
      <c r="B27" s="4" t="s">
        <v>9</v>
      </c>
      <c r="C27" s="5"/>
      <c r="D27" s="5"/>
      <c r="E27" s="5"/>
      <c r="F27" s="6"/>
    </row>
    <row r="28" spans="2:6" ht="15.4" x14ac:dyDescent="0.45">
      <c r="B28" s="7" t="s">
        <v>2</v>
      </c>
      <c r="C28" s="8" t="s">
        <v>3</v>
      </c>
      <c r="D28" s="8" t="s">
        <v>4</v>
      </c>
      <c r="E28" s="8" t="s">
        <v>4</v>
      </c>
      <c r="F28" s="9" t="s">
        <v>4</v>
      </c>
    </row>
    <row r="29" spans="2:6" ht="15.4" x14ac:dyDescent="0.45">
      <c r="B29" s="7" t="s">
        <v>5</v>
      </c>
      <c r="C29" s="8" t="s">
        <v>3</v>
      </c>
      <c r="D29" s="8" t="s">
        <v>3</v>
      </c>
      <c r="E29" s="8">
        <v>20</v>
      </c>
      <c r="F29" s="9">
        <v>40</v>
      </c>
    </row>
    <row r="30" spans="2:6" ht="15.4" x14ac:dyDescent="0.45">
      <c r="B30" s="20" t="s">
        <v>6</v>
      </c>
      <c r="C30" s="10">
        <v>100</v>
      </c>
      <c r="D30" s="10">
        <v>189.15620000000001</v>
      </c>
      <c r="E30" s="10">
        <v>131.52070000000001</v>
      </c>
      <c r="F30" s="11">
        <v>74.807509999999994</v>
      </c>
    </row>
    <row r="31" spans="2:6" ht="15.4" x14ac:dyDescent="0.45">
      <c r="B31" s="20"/>
      <c r="C31" s="10">
        <v>100</v>
      </c>
      <c r="D31" s="10">
        <v>170.60069999999999</v>
      </c>
      <c r="E31" s="10">
        <v>158.05029999999999</v>
      </c>
      <c r="F31" s="11">
        <v>70.140090000000001</v>
      </c>
    </row>
    <row r="32" spans="2:6" ht="15.4" x14ac:dyDescent="0.45">
      <c r="B32" s="20"/>
      <c r="C32" s="10">
        <v>100</v>
      </c>
      <c r="D32" s="10">
        <v>160.70750000000001</v>
      </c>
      <c r="E32" s="10">
        <v>152.54150000000001</v>
      </c>
      <c r="F32" s="11">
        <v>79.965289999999996</v>
      </c>
    </row>
    <row r="33" spans="2:6" ht="15.4" x14ac:dyDescent="0.45">
      <c r="B33" s="21"/>
      <c r="C33" s="12">
        <v>100</v>
      </c>
      <c r="D33" s="12">
        <v>140.29769999999999</v>
      </c>
      <c r="E33" s="12">
        <v>152.22450000000001</v>
      </c>
      <c r="F33" s="13">
        <v>85.044489999999996</v>
      </c>
    </row>
    <row r="34" spans="2:6" ht="15.4" x14ac:dyDescent="0.45">
      <c r="B34" s="7"/>
      <c r="C34" s="8"/>
      <c r="D34" s="8"/>
      <c r="E34" s="8"/>
      <c r="F34" s="9"/>
    </row>
    <row r="35" spans="2:6" ht="15.4" x14ac:dyDescent="0.45">
      <c r="B35" s="4" t="s">
        <v>10</v>
      </c>
      <c r="C35" s="5"/>
      <c r="D35" s="5"/>
      <c r="E35" s="5"/>
      <c r="F35" s="6"/>
    </row>
    <row r="36" spans="2:6" ht="15.4" x14ac:dyDescent="0.45">
      <c r="B36" s="7" t="s">
        <v>2</v>
      </c>
      <c r="C36" s="8" t="s">
        <v>3</v>
      </c>
      <c r="D36" s="8" t="s">
        <v>4</v>
      </c>
      <c r="E36" s="8" t="s">
        <v>4</v>
      </c>
      <c r="F36" s="9" t="s">
        <v>4</v>
      </c>
    </row>
    <row r="37" spans="2:6" ht="15.4" x14ac:dyDescent="0.45">
      <c r="B37" s="7" t="s">
        <v>5</v>
      </c>
      <c r="C37" s="8" t="s">
        <v>3</v>
      </c>
      <c r="D37" s="8" t="s">
        <v>3</v>
      </c>
      <c r="E37" s="8">
        <v>20</v>
      </c>
      <c r="F37" s="9">
        <v>40</v>
      </c>
    </row>
    <row r="38" spans="2:6" ht="15.4" x14ac:dyDescent="0.45">
      <c r="B38" s="20" t="s">
        <v>6</v>
      </c>
      <c r="C38" s="10">
        <v>100</v>
      </c>
      <c r="D38" s="10">
        <v>187.9522</v>
      </c>
      <c r="E38" s="10">
        <v>121.13720000000001</v>
      </c>
      <c r="F38" s="11">
        <v>105.6613</v>
      </c>
    </row>
    <row r="39" spans="2:6" ht="15.4" x14ac:dyDescent="0.45">
      <c r="B39" s="20"/>
      <c r="C39" s="10">
        <v>100</v>
      </c>
      <c r="D39" s="10">
        <v>162.6849</v>
      </c>
      <c r="E39" s="10">
        <v>115.8703</v>
      </c>
      <c r="F39" s="11">
        <v>98.236630000000005</v>
      </c>
    </row>
    <row r="40" spans="2:6" ht="15.75" thickBot="1" x14ac:dyDescent="0.5">
      <c r="B40" s="22"/>
      <c r="C40" s="14">
        <v>100</v>
      </c>
      <c r="D40" s="14">
        <v>198.8706</v>
      </c>
      <c r="E40" s="14">
        <v>106.5959</v>
      </c>
      <c r="F40" s="15">
        <v>104.2693</v>
      </c>
    </row>
  </sheetData>
  <mergeCells count="5">
    <mergeCell ref="B6:B9"/>
    <mergeCell ref="B14:B18"/>
    <mergeCell ref="B23:B25"/>
    <mergeCell ref="B30:B33"/>
    <mergeCell ref="B38:B4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9491-0B83-4D03-9713-05DCED918AB2}">
  <dimension ref="A1:E27"/>
  <sheetViews>
    <sheetView workbookViewId="0">
      <selection activeCell="H16" sqref="H16"/>
    </sheetView>
  </sheetViews>
  <sheetFormatPr defaultRowHeight="15" x14ac:dyDescent="0.45"/>
  <cols>
    <col min="1" max="1" width="9.7109375" bestFit="1" customWidth="1"/>
  </cols>
  <sheetData>
    <row r="1" spans="1:5" ht="16.149999999999999" x14ac:dyDescent="0.45">
      <c r="B1" s="16" t="s">
        <v>11</v>
      </c>
      <c r="C1" s="16" t="s">
        <v>12</v>
      </c>
      <c r="D1" s="16" t="s">
        <v>13</v>
      </c>
      <c r="E1" s="16" t="s">
        <v>14</v>
      </c>
    </row>
    <row r="2" spans="1:5" ht="16.149999999999999" x14ac:dyDescent="0.45">
      <c r="A2" s="16">
        <v>20200830</v>
      </c>
      <c r="B2" s="16">
        <v>100.56860321384427</v>
      </c>
      <c r="C2" s="16">
        <v>191.94066749072931</v>
      </c>
      <c r="D2" s="16">
        <v>161.97775030902349</v>
      </c>
      <c r="E2" s="16">
        <v>100.46971569839309</v>
      </c>
    </row>
    <row r="3" spans="1:5" ht="16.149999999999999" x14ac:dyDescent="0.45">
      <c r="B3" s="16">
        <v>104.42521631644006</v>
      </c>
      <c r="C3" s="16"/>
      <c r="D3" s="16">
        <v>133.59703337453647</v>
      </c>
      <c r="E3" s="16">
        <v>96.909765142150817</v>
      </c>
    </row>
    <row r="4" spans="1:5" ht="16.149999999999999" x14ac:dyDescent="0.45">
      <c r="B4" s="16">
        <v>90.284301606922128</v>
      </c>
      <c r="C4" s="16">
        <v>178.09641532756493</v>
      </c>
      <c r="D4" s="16">
        <v>153.57231149567369</v>
      </c>
      <c r="E4" s="16">
        <v>91.569839307787404</v>
      </c>
    </row>
    <row r="5" spans="1:5" ht="16.149999999999999" x14ac:dyDescent="0.45">
      <c r="B5" s="16">
        <v>104.72187886279359</v>
      </c>
      <c r="C5" s="16">
        <v>193.81953028430163</v>
      </c>
      <c r="D5" s="16"/>
      <c r="E5" s="16"/>
    </row>
    <row r="6" spans="1:5" x14ac:dyDescent="0.45">
      <c r="A6" t="s">
        <v>18</v>
      </c>
      <c r="B6">
        <f>AVERAGE(B2:B5)</f>
        <v>100</v>
      </c>
      <c r="C6">
        <f t="shared" ref="C6:E6" si="0">AVERAGE(C2:C5)</f>
        <v>187.95220436753198</v>
      </c>
      <c r="D6">
        <f t="shared" si="0"/>
        <v>149.7156983930779</v>
      </c>
      <c r="E6">
        <f t="shared" si="0"/>
        <v>96.31644004944377</v>
      </c>
    </row>
    <row r="8" spans="1:5" ht="16.149999999999999" x14ac:dyDescent="0.45">
      <c r="B8" s="16" t="s">
        <v>11</v>
      </c>
      <c r="C8" s="16" t="s">
        <v>12</v>
      </c>
      <c r="D8" s="16" t="s">
        <v>13</v>
      </c>
      <c r="E8" s="16" t="s">
        <v>14</v>
      </c>
    </row>
    <row r="9" spans="1:5" ht="16.149999999999999" x14ac:dyDescent="0.45">
      <c r="A9" s="16">
        <v>20200828</v>
      </c>
      <c r="B9" s="16">
        <v>92.15017064846414</v>
      </c>
      <c r="C9" s="16">
        <v>165.49108835798253</v>
      </c>
      <c r="D9" s="16">
        <v>183.99696624952594</v>
      </c>
      <c r="E9" s="16">
        <v>127.1899886234357</v>
      </c>
    </row>
    <row r="10" spans="1:5" ht="16.149999999999999" x14ac:dyDescent="0.45">
      <c r="B10" s="16">
        <v>95.866514979142963</v>
      </c>
      <c r="C10" s="16">
        <v>160.18202502844139</v>
      </c>
      <c r="D10" s="16">
        <v>175.57830868411071</v>
      </c>
      <c r="E10" s="16">
        <v>115.8892681076981</v>
      </c>
    </row>
    <row r="11" spans="1:5" ht="16.149999999999999" x14ac:dyDescent="0.45">
      <c r="B11" s="16">
        <v>98.521046643913508</v>
      </c>
      <c r="C11" s="16">
        <v>162.38149412210842</v>
      </c>
      <c r="D11" s="16">
        <v>169.35912021236251</v>
      </c>
      <c r="E11" s="16">
        <v>131.89230185817215</v>
      </c>
    </row>
    <row r="12" spans="1:5" ht="16.149999999999999" x14ac:dyDescent="0.45">
      <c r="B12" s="16">
        <v>113.46226772847932</v>
      </c>
      <c r="C12" s="16"/>
      <c r="D12" s="16"/>
      <c r="E12" s="16">
        <v>143.64808494501327</v>
      </c>
    </row>
    <row r="13" spans="1:5" x14ac:dyDescent="0.45">
      <c r="A13" t="s">
        <v>18</v>
      </c>
      <c r="B13">
        <f>AVERAGE(B9:B12)</f>
        <v>99.999999999999986</v>
      </c>
      <c r="C13">
        <f t="shared" ref="C13:E13" si="1">AVERAGE(C9:C12)</f>
        <v>162.68486916951076</v>
      </c>
      <c r="D13">
        <f t="shared" si="1"/>
        <v>176.31146504866638</v>
      </c>
      <c r="E13">
        <f t="shared" si="1"/>
        <v>129.65491088357979</v>
      </c>
    </row>
    <row r="15" spans="1:5" ht="16.149999999999999" x14ac:dyDescent="0.45">
      <c r="B15" s="16" t="s">
        <v>11</v>
      </c>
      <c r="C15" s="16" t="s">
        <v>12</v>
      </c>
      <c r="D15" s="16" t="s">
        <v>13</v>
      </c>
      <c r="E15" s="16" t="s">
        <v>14</v>
      </c>
    </row>
    <row r="16" spans="1:5" ht="16.149999999999999" x14ac:dyDescent="0.45">
      <c r="A16" s="16">
        <v>20200901</v>
      </c>
      <c r="B16" s="16">
        <v>89.902868759882551</v>
      </c>
      <c r="C16" s="16">
        <v>174.83623221142989</v>
      </c>
      <c r="D16" s="16">
        <v>165.52970408854753</v>
      </c>
      <c r="E16" s="16">
        <v>81.409532414727821</v>
      </c>
    </row>
    <row r="17" spans="1:5" ht="16.149999999999999" x14ac:dyDescent="0.45">
      <c r="B17" s="16">
        <v>117.5513892026203</v>
      </c>
      <c r="C17" s="16">
        <v>181.16105714931106</v>
      </c>
      <c r="D17" s="16">
        <v>142.39891574429635</v>
      </c>
      <c r="E17" s="16">
        <v>80.5059859950305</v>
      </c>
    </row>
    <row r="18" spans="1:5" ht="16.149999999999999" x14ac:dyDescent="0.45">
      <c r="B18" s="16">
        <v>87.82471199457872</v>
      </c>
      <c r="C18" s="16">
        <v>178.90219110006777</v>
      </c>
      <c r="D18" s="16">
        <v>154.86785633611927</v>
      </c>
      <c r="E18" s="16">
        <v>74.632934266997978</v>
      </c>
    </row>
    <row r="19" spans="1:5" ht="16.149999999999999" x14ac:dyDescent="0.45">
      <c r="B19" s="16">
        <v>104.72103004291846</v>
      </c>
      <c r="C19" s="16">
        <v>260.58278744070481</v>
      </c>
      <c r="D19" s="16">
        <v>188.02800993901064</v>
      </c>
      <c r="E19" s="16">
        <v>99.93223401852272</v>
      </c>
    </row>
    <row r="20" spans="1:5" x14ac:dyDescent="0.45">
      <c r="A20" t="s">
        <v>18</v>
      </c>
      <c r="B20">
        <f>AVERAGE(B16:B19)</f>
        <v>100.00000000000001</v>
      </c>
      <c r="C20">
        <f t="shared" ref="C20:E20" si="2">AVERAGE(C16:C19)</f>
        <v>198.87056697537838</v>
      </c>
      <c r="D20">
        <f t="shared" si="2"/>
        <v>162.70612152699346</v>
      </c>
      <c r="E20">
        <f t="shared" si="2"/>
        <v>84.120171673819755</v>
      </c>
    </row>
    <row r="22" spans="1:5" ht="16.149999999999999" x14ac:dyDescent="0.45">
      <c r="B22" s="16" t="s">
        <v>11</v>
      </c>
      <c r="C22" s="16" t="s">
        <v>12</v>
      </c>
      <c r="D22" s="16" t="s">
        <v>13</v>
      </c>
      <c r="E22" s="16" t="s">
        <v>14</v>
      </c>
    </row>
    <row r="23" spans="1:5" ht="16.149999999999999" x14ac:dyDescent="0.45">
      <c r="A23" s="16">
        <v>20200502</v>
      </c>
      <c r="B23" s="16">
        <v>91.683778234086233</v>
      </c>
      <c r="C23" s="16">
        <v>143.63449691991784</v>
      </c>
      <c r="D23" s="16">
        <v>153.38809034907598</v>
      </c>
      <c r="E23" s="16">
        <v>98.049281314168368</v>
      </c>
    </row>
    <row r="24" spans="1:5" ht="16.149999999999999" x14ac:dyDescent="0.45">
      <c r="B24" s="16">
        <v>106.98151950718685</v>
      </c>
      <c r="C24" s="16">
        <v>138.19301848049278</v>
      </c>
      <c r="D24" s="16">
        <v>157.18685831622176</v>
      </c>
      <c r="E24" s="16">
        <v>97.22792607802873</v>
      </c>
    </row>
    <row r="25" spans="1:5" ht="16.149999999999999" x14ac:dyDescent="0.45">
      <c r="B25" s="16">
        <v>103.28542094455851</v>
      </c>
      <c r="C25" s="16">
        <v>134.29158110882955</v>
      </c>
      <c r="D25" s="16">
        <v>143.42915811088292</v>
      </c>
      <c r="E25" s="16">
        <v>94.455852156057489</v>
      </c>
    </row>
    <row r="26" spans="1:5" ht="16.149999999999999" x14ac:dyDescent="0.45">
      <c r="B26" s="16">
        <v>98.049281314168368</v>
      </c>
      <c r="C26" s="16">
        <v>145.0718685831622</v>
      </c>
      <c r="D26" s="16">
        <v>148.04928131416835</v>
      </c>
      <c r="E26" s="16">
        <v>101.9507186858316</v>
      </c>
    </row>
    <row r="27" spans="1:5" x14ac:dyDescent="0.45">
      <c r="A27" t="s">
        <v>18</v>
      </c>
      <c r="B27">
        <f>AVERAGE(B23:B26)</f>
        <v>99.999999999999986</v>
      </c>
      <c r="C27">
        <f t="shared" ref="C27" si="3">AVERAGE(C23:C26)</f>
        <v>140.2977412731006</v>
      </c>
      <c r="D27">
        <f t="shared" ref="D27" si="4">AVERAGE(D23:D26)</f>
        <v>150.51334702258725</v>
      </c>
      <c r="E27">
        <f t="shared" ref="E27" si="5">AVERAGE(E23:E26)</f>
        <v>97.920944558521541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8129-2D46-4C61-B684-E8273EF4D8E5}">
  <dimension ref="A1:E35"/>
  <sheetViews>
    <sheetView workbookViewId="0">
      <selection activeCell="G16" sqref="G16"/>
    </sheetView>
  </sheetViews>
  <sheetFormatPr defaultRowHeight="15" x14ac:dyDescent="0.45"/>
  <cols>
    <col min="1" max="1" width="9.7109375" bestFit="1" customWidth="1"/>
    <col min="4" max="5" width="13.140625" bestFit="1" customWidth="1"/>
  </cols>
  <sheetData>
    <row r="1" spans="1:5" ht="16.149999999999999" x14ac:dyDescent="0.45">
      <c r="B1" s="16" t="s">
        <v>11</v>
      </c>
      <c r="C1" s="16" t="s">
        <v>12</v>
      </c>
      <c r="D1" s="19" t="s">
        <v>21</v>
      </c>
      <c r="E1" s="19" t="s">
        <v>22</v>
      </c>
    </row>
    <row r="2" spans="1:5" ht="16.149999999999999" x14ac:dyDescent="0.45">
      <c r="A2" s="16">
        <v>20200828</v>
      </c>
      <c r="B2" s="16">
        <v>93.002973240832517</v>
      </c>
      <c r="C2" s="16">
        <v>171.65510406342918</v>
      </c>
      <c r="D2" s="16">
        <v>190.04955401387514</v>
      </c>
      <c r="E2" s="16">
        <v>170.94152626362737</v>
      </c>
    </row>
    <row r="3" spans="1:5" ht="16.149999999999999" x14ac:dyDescent="0.45">
      <c r="B3" s="16">
        <v>102.91377601585729</v>
      </c>
      <c r="C3" s="16">
        <v>169.7522299306244</v>
      </c>
      <c r="D3" s="16">
        <v>180.53518334985137</v>
      </c>
      <c r="E3" s="16">
        <v>162.06144697720518</v>
      </c>
    </row>
    <row r="4" spans="1:5" ht="16.149999999999999" x14ac:dyDescent="0.45">
      <c r="B4" s="16">
        <v>103.38949454905848</v>
      </c>
      <c r="C4" s="16">
        <v>172.21010901883054</v>
      </c>
      <c r="D4" s="16">
        <v>186.24380574826563</v>
      </c>
      <c r="E4" s="16">
        <v>158.25569871159567</v>
      </c>
    </row>
    <row r="5" spans="1:5" ht="16.149999999999999" x14ac:dyDescent="0.45">
      <c r="B5" s="16">
        <v>100.69375619425173</v>
      </c>
      <c r="C5" s="16">
        <v>188.30525272547078</v>
      </c>
      <c r="D5" s="16">
        <v>199.32606541129834</v>
      </c>
      <c r="E5" s="16">
        <v>172.60654112983153</v>
      </c>
    </row>
    <row r="6" spans="1:5" x14ac:dyDescent="0.45">
      <c r="A6" t="s">
        <v>18</v>
      </c>
      <c r="B6">
        <f>AVERAGE(B2:B5)</f>
        <v>100</v>
      </c>
      <c r="C6">
        <f t="shared" ref="C6" si="0">AVERAGE(C2:C5)</f>
        <v>175.48067393458871</v>
      </c>
      <c r="D6">
        <f>AVERAGE(D2:D5)</f>
        <v>189.03865213082261</v>
      </c>
      <c r="E6">
        <f>AVERAGE(E2:E5)</f>
        <v>165.96630327056494</v>
      </c>
    </row>
    <row r="8" spans="1:5" ht="16.149999999999999" x14ac:dyDescent="0.45">
      <c r="B8" s="16" t="s">
        <v>11</v>
      </c>
      <c r="C8" s="16" t="s">
        <v>12</v>
      </c>
      <c r="D8" s="19" t="s">
        <v>21</v>
      </c>
      <c r="E8" s="19" t="s">
        <v>22</v>
      </c>
    </row>
    <row r="9" spans="1:5" ht="16.149999999999999" x14ac:dyDescent="0.45">
      <c r="A9" s="16">
        <v>20200830</v>
      </c>
      <c r="B9" s="16">
        <v>106.7906976744186</v>
      </c>
      <c r="C9" s="16">
        <v>170.69767441860466</v>
      </c>
      <c r="D9" s="16">
        <v>170.32558139534885</v>
      </c>
      <c r="E9" s="16">
        <v>138.41860465116278</v>
      </c>
    </row>
    <row r="10" spans="1:5" ht="16.149999999999999" x14ac:dyDescent="0.45">
      <c r="B10" s="16">
        <v>104.65116279069768</v>
      </c>
      <c r="C10" s="16">
        <v>167.62790697674419</v>
      </c>
      <c r="D10" s="16">
        <v>173.58139534883722</v>
      </c>
      <c r="E10" s="16">
        <v>129.11627906976747</v>
      </c>
    </row>
    <row r="11" spans="1:5" ht="16.149999999999999" x14ac:dyDescent="0.45">
      <c r="B11" s="16">
        <v>95.162790697674424</v>
      </c>
      <c r="C11" s="16">
        <v>161.48837209302326</v>
      </c>
      <c r="D11" s="16">
        <v>174.97674418604649</v>
      </c>
      <c r="E11" s="16">
        <v>133.2093023255814</v>
      </c>
    </row>
    <row r="12" spans="1:5" ht="16.149999999999999" x14ac:dyDescent="0.45">
      <c r="B12" s="16">
        <v>100</v>
      </c>
      <c r="C12" s="16">
        <v>169.58139534883719</v>
      </c>
      <c r="D12" s="16">
        <v>172.74418604651163</v>
      </c>
      <c r="E12" s="16">
        <v>141.76744186046511</v>
      </c>
    </row>
    <row r="13" spans="1:5" x14ac:dyDescent="0.45">
      <c r="A13" t="s">
        <v>18</v>
      </c>
      <c r="B13">
        <f>AVERAGE(B9:B12)</f>
        <v>101.65116279069768</v>
      </c>
      <c r="C13">
        <f>AVERAGE(C9:C12)</f>
        <v>167.34883720930233</v>
      </c>
      <c r="D13">
        <f t="shared" ref="D13" si="1">AVERAGE(D9:D12)</f>
        <v>172.90697674418607</v>
      </c>
      <c r="E13">
        <f t="shared" ref="E13" si="2">AVERAGE(E9:E12)</f>
        <v>135.62790697674419</v>
      </c>
    </row>
    <row r="14" spans="1:5" x14ac:dyDescent="0.45">
      <c r="A14" t="s">
        <v>27</v>
      </c>
      <c r="B14">
        <f>B13/$B$13 * 100</f>
        <v>100</v>
      </c>
      <c r="C14">
        <f t="shared" ref="C14:E14" si="3">C13/$B$13 * 100</f>
        <v>164.63051933196064</v>
      </c>
      <c r="D14">
        <f t="shared" si="3"/>
        <v>170.09837565774424</v>
      </c>
      <c r="E14">
        <f t="shared" si="3"/>
        <v>133.42484557309541</v>
      </c>
    </row>
    <row r="16" spans="1:5" ht="16.149999999999999" x14ac:dyDescent="0.45">
      <c r="B16" s="16" t="s">
        <v>11</v>
      </c>
      <c r="C16" s="16" t="s">
        <v>12</v>
      </c>
      <c r="D16" s="19" t="s">
        <v>21</v>
      </c>
      <c r="E16" s="19" t="s">
        <v>22</v>
      </c>
    </row>
    <row r="17" spans="1:5" ht="16.149999999999999" x14ac:dyDescent="0.45">
      <c r="A17" s="16">
        <v>20200901</v>
      </c>
      <c r="B17" s="16">
        <v>103.67211561241412</v>
      </c>
      <c r="C17" s="16">
        <v>163.84742951907128</v>
      </c>
      <c r="D17" s="16">
        <v>159.39350864723997</v>
      </c>
      <c r="E17" s="16">
        <v>136.4605543710021</v>
      </c>
    </row>
    <row r="18" spans="1:5" ht="16.149999999999999" x14ac:dyDescent="0.45">
      <c r="B18" s="16">
        <v>100.73442312248282</v>
      </c>
      <c r="C18" s="16">
        <v>169.53328595119638</v>
      </c>
      <c r="D18" s="16">
        <v>151.90713101160861</v>
      </c>
      <c r="E18" s="16">
        <v>130.77469793887704</v>
      </c>
    </row>
    <row r="19" spans="1:5" ht="16.149999999999999" x14ac:dyDescent="0.45">
      <c r="B19" s="16">
        <v>96.849087893864009</v>
      </c>
      <c r="C19" s="16">
        <v>164.32125088841505</v>
      </c>
      <c r="D19" s="16">
        <v>159.86733001658374</v>
      </c>
      <c r="E19" s="16">
        <v>122.8144989339019</v>
      </c>
    </row>
    <row r="20" spans="1:5" ht="16.149999999999999" x14ac:dyDescent="0.45">
      <c r="B20" s="16">
        <v>98.744373371239035</v>
      </c>
      <c r="C20" s="16">
        <v>191.51859748874674</v>
      </c>
      <c r="D20" s="16">
        <v>154.56053067993366</v>
      </c>
      <c r="E20" s="16">
        <v>134.66003316749584</v>
      </c>
    </row>
    <row r="21" spans="1:5" x14ac:dyDescent="0.45">
      <c r="A21" t="s">
        <v>18</v>
      </c>
      <c r="B21">
        <f>AVERAGE(B17:B20)</f>
        <v>100</v>
      </c>
      <c r="C21">
        <f t="shared" ref="C21" si="4">AVERAGE(C17:C20)</f>
        <v>172.30514096185738</v>
      </c>
      <c r="D21">
        <f t="shared" ref="D21" si="5">AVERAGE(D17:D20)</f>
        <v>156.4321250888415</v>
      </c>
      <c r="E21">
        <f t="shared" ref="E21" si="6">AVERAGE(E17:E20)</f>
        <v>131.1774461028192</v>
      </c>
    </row>
    <row r="23" spans="1:5" ht="16.149999999999999" x14ac:dyDescent="0.45">
      <c r="B23" s="16" t="s">
        <v>11</v>
      </c>
      <c r="C23" s="16" t="s">
        <v>12</v>
      </c>
      <c r="D23" s="19" t="s">
        <v>21</v>
      </c>
      <c r="E23" s="19" t="s">
        <v>22</v>
      </c>
    </row>
    <row r="24" spans="1:5" ht="16.149999999999999" x14ac:dyDescent="0.45">
      <c r="A24" s="18">
        <v>20200502</v>
      </c>
      <c r="B24" s="18">
        <v>98.174642328564389</v>
      </c>
      <c r="C24" s="18">
        <v>135.07646768623582</v>
      </c>
      <c r="D24" s="18">
        <v>177.70103601381354</v>
      </c>
      <c r="E24" s="18">
        <v>174.05032067094228</v>
      </c>
    </row>
    <row r="25" spans="1:5" ht="16.149999999999999" x14ac:dyDescent="0.45">
      <c r="B25" s="18">
        <v>102.12136161815491</v>
      </c>
      <c r="C25" s="18">
        <v>139.91119881598425</v>
      </c>
      <c r="D25" s="18">
        <v>180.95707942772572</v>
      </c>
      <c r="E25" s="18">
        <v>168.42624568327577</v>
      </c>
    </row>
    <row r="26" spans="1:5" ht="16.149999999999999" x14ac:dyDescent="0.45">
      <c r="B26" s="18">
        <v>97.483966452886037</v>
      </c>
      <c r="C26" s="18">
        <v>131.3270843611248</v>
      </c>
      <c r="D26" s="18">
        <v>180.85841144548593</v>
      </c>
      <c r="E26" s="18">
        <v>174.14898865318204</v>
      </c>
    </row>
    <row r="27" spans="1:5" ht="16.149999999999999" x14ac:dyDescent="0.45">
      <c r="B27" s="18">
        <v>102.22002960039467</v>
      </c>
      <c r="C27" s="18">
        <v>138.03650715342872</v>
      </c>
      <c r="D27" s="18">
        <v>182.04242723236311</v>
      </c>
      <c r="E27" s="18"/>
    </row>
    <row r="28" spans="1:5" x14ac:dyDescent="0.45">
      <c r="A28" t="s">
        <v>18</v>
      </c>
      <c r="B28">
        <f>AVERAGE(B24:B27)</f>
        <v>100</v>
      </c>
      <c r="C28">
        <f t="shared" ref="C28:E28" si="7">AVERAGE(C24:C27)</f>
        <v>136.0878145041934</v>
      </c>
      <c r="D28">
        <f t="shared" si="7"/>
        <v>180.38973852984708</v>
      </c>
      <c r="E28">
        <f t="shared" si="7"/>
        <v>172.20851833580002</v>
      </c>
    </row>
    <row r="30" spans="1:5" ht="16.149999999999999" x14ac:dyDescent="0.45">
      <c r="B30" s="16" t="s">
        <v>11</v>
      </c>
      <c r="C30" s="16" t="s">
        <v>12</v>
      </c>
      <c r="D30" s="19" t="s">
        <v>21</v>
      </c>
      <c r="E30" s="19" t="s">
        <v>22</v>
      </c>
    </row>
    <row r="31" spans="1:5" ht="16.149999999999999" x14ac:dyDescent="0.45">
      <c r="A31" s="18">
        <v>20200508</v>
      </c>
      <c r="B31" s="18">
        <v>99.853892715508252</v>
      </c>
      <c r="C31" s="18">
        <v>138.42621582133168</v>
      </c>
      <c r="D31" s="18">
        <v>162.80525986224171</v>
      </c>
      <c r="E31" s="18">
        <v>142.26675015654354</v>
      </c>
    </row>
    <row r="32" spans="1:5" ht="16.149999999999999" x14ac:dyDescent="0.45">
      <c r="B32" s="18">
        <v>102.19160926737634</v>
      </c>
      <c r="C32" s="18">
        <v>143.43560843247758</v>
      </c>
      <c r="D32" s="18">
        <v>169.73491964099355</v>
      </c>
      <c r="E32" s="18">
        <v>148.94594030473806</v>
      </c>
    </row>
    <row r="33" spans="1:5" ht="16.149999999999999" x14ac:dyDescent="0.45">
      <c r="B33" s="18">
        <v>102.19160926737634</v>
      </c>
      <c r="C33" s="18">
        <v>135.83802963890631</v>
      </c>
      <c r="D33" s="18">
        <v>161.88687121686496</v>
      </c>
      <c r="E33" s="18">
        <v>147.61010227509917</v>
      </c>
    </row>
    <row r="34" spans="1:5" ht="16.149999999999999" x14ac:dyDescent="0.45">
      <c r="B34" s="18">
        <v>95.762888749739091</v>
      </c>
      <c r="C34" s="18">
        <v>128.240450845335</v>
      </c>
      <c r="D34" s="18">
        <v>172.40659570027134</v>
      </c>
      <c r="E34" s="18">
        <v>153.87184303903152</v>
      </c>
    </row>
    <row r="35" spans="1:5" x14ac:dyDescent="0.45">
      <c r="A35" t="s">
        <v>18</v>
      </c>
      <c r="B35">
        <f>AVERAGE(B31:B34)</f>
        <v>100</v>
      </c>
      <c r="C35">
        <f t="shared" ref="C35:E35" si="8">AVERAGE(C31:C34)</f>
        <v>136.48507618451262</v>
      </c>
      <c r="D35">
        <f t="shared" si="8"/>
        <v>166.70841160509289</v>
      </c>
      <c r="E35">
        <f t="shared" si="8"/>
        <v>148.17365894385307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6E91-05E9-4561-B402-5D00F1308B89}">
  <dimension ref="A1:M22"/>
  <sheetViews>
    <sheetView workbookViewId="0">
      <selection activeCell="H17" sqref="H17"/>
    </sheetView>
  </sheetViews>
  <sheetFormatPr defaultRowHeight="15" x14ac:dyDescent="0.45"/>
  <cols>
    <col min="1" max="1" width="9.7109375" bestFit="1" customWidth="1"/>
    <col min="2" max="3" width="9.2109375" bestFit="1" customWidth="1"/>
    <col min="4" max="5" width="13.140625" bestFit="1" customWidth="1"/>
  </cols>
  <sheetData>
    <row r="1" spans="1:13" ht="16.149999999999999" x14ac:dyDescent="0.45">
      <c r="B1" s="16" t="s">
        <v>11</v>
      </c>
      <c r="C1" s="16" t="s">
        <v>12</v>
      </c>
      <c r="D1" s="17" t="s">
        <v>23</v>
      </c>
      <c r="E1" s="19" t="s">
        <v>25</v>
      </c>
      <c r="G1" s="16"/>
      <c r="H1" s="16"/>
      <c r="I1" s="16"/>
      <c r="J1" s="16"/>
      <c r="K1" s="16"/>
      <c r="L1" s="16"/>
      <c r="M1" s="16"/>
    </row>
    <row r="2" spans="1:13" ht="16.149999999999999" x14ac:dyDescent="0.45">
      <c r="A2" s="16">
        <v>20200828</v>
      </c>
      <c r="B2" s="16">
        <v>93.002973240832517</v>
      </c>
      <c r="C2" s="16">
        <v>171.65510406342918</v>
      </c>
      <c r="D2" s="16">
        <v>208.68186323092169</v>
      </c>
      <c r="E2" s="16">
        <v>211.21902874132809</v>
      </c>
      <c r="G2" s="16"/>
      <c r="H2" s="16"/>
      <c r="I2" s="16"/>
      <c r="J2" s="16"/>
      <c r="K2" s="16"/>
      <c r="L2" s="16"/>
      <c r="M2" s="16"/>
    </row>
    <row r="3" spans="1:13" ht="16.149999999999999" x14ac:dyDescent="0.45">
      <c r="B3" s="16">
        <v>102.91377601585729</v>
      </c>
      <c r="C3" s="16">
        <v>169.7522299306244</v>
      </c>
      <c r="D3" s="16">
        <v>207.73042616451937</v>
      </c>
      <c r="E3" s="16">
        <v>201.78394449950449</v>
      </c>
      <c r="G3" s="16"/>
      <c r="H3" s="16"/>
      <c r="I3" s="16"/>
      <c r="J3" s="16"/>
      <c r="K3" s="16"/>
      <c r="L3" s="16"/>
      <c r="M3" s="16"/>
    </row>
    <row r="4" spans="1:13" ht="16.149999999999999" x14ac:dyDescent="0.45">
      <c r="B4" s="16">
        <v>103.38949454905848</v>
      </c>
      <c r="C4" s="16">
        <v>172.21010901883054</v>
      </c>
      <c r="D4" s="16">
        <v>204.87611496531221</v>
      </c>
      <c r="E4" s="16">
        <v>209.87115956392469</v>
      </c>
      <c r="G4" s="16"/>
      <c r="H4" s="16"/>
      <c r="I4" s="16"/>
      <c r="J4" s="16"/>
      <c r="K4" s="16"/>
      <c r="L4" s="16"/>
      <c r="M4" s="16"/>
    </row>
    <row r="5" spans="1:13" ht="16.149999999999999" x14ac:dyDescent="0.45">
      <c r="B5" s="16">
        <v>100.69375619425173</v>
      </c>
      <c r="C5" s="16">
        <v>188.30525272547078</v>
      </c>
      <c r="D5" s="16">
        <v>213.51833498513381</v>
      </c>
      <c r="E5" s="16">
        <v>230.96134786917744</v>
      </c>
      <c r="G5" s="16"/>
      <c r="H5" s="16"/>
      <c r="I5" s="16"/>
      <c r="J5" s="16"/>
      <c r="K5" s="16"/>
      <c r="L5" s="16"/>
      <c r="M5" s="16"/>
    </row>
    <row r="6" spans="1:13" ht="16.149999999999999" x14ac:dyDescent="0.45">
      <c r="A6" t="s">
        <v>18</v>
      </c>
      <c r="B6">
        <f>AVERAGE(B2:B5)</f>
        <v>100</v>
      </c>
      <c r="C6">
        <f t="shared" ref="C6:E6" si="0">AVERAGE(C2:C5)</f>
        <v>175.48067393458871</v>
      </c>
      <c r="D6">
        <f t="shared" si="0"/>
        <v>208.70168483647177</v>
      </c>
      <c r="E6">
        <f t="shared" si="0"/>
        <v>213.45887016848368</v>
      </c>
      <c r="G6" s="16"/>
      <c r="H6" s="16"/>
      <c r="I6" s="16"/>
      <c r="J6" s="16"/>
      <c r="K6" s="16"/>
      <c r="L6" s="16"/>
      <c r="M6" s="16"/>
    </row>
    <row r="7" spans="1:13" ht="16.149999999999999" x14ac:dyDescent="0.45">
      <c r="G7" s="16"/>
      <c r="H7" s="16"/>
      <c r="I7" s="16"/>
      <c r="J7" s="16"/>
      <c r="K7" s="16"/>
      <c r="L7" s="16"/>
      <c r="M7" s="16"/>
    </row>
    <row r="8" spans="1:13" ht="16.149999999999999" x14ac:dyDescent="0.45">
      <c r="A8" s="23"/>
      <c r="B8" s="24" t="s">
        <v>11</v>
      </c>
      <c r="C8" s="24" t="s">
        <v>12</v>
      </c>
      <c r="D8" s="24" t="s">
        <v>26</v>
      </c>
      <c r="E8" s="24" t="s">
        <v>24</v>
      </c>
      <c r="G8" s="16"/>
      <c r="H8" s="16"/>
      <c r="I8" s="16"/>
      <c r="J8" s="16"/>
      <c r="K8" s="16"/>
      <c r="L8" s="16"/>
      <c r="M8" s="16"/>
    </row>
    <row r="9" spans="1:13" ht="16.149999999999999" x14ac:dyDescent="0.45">
      <c r="A9" s="24">
        <v>20200830</v>
      </c>
      <c r="B9" s="24">
        <v>106.7906976744186</v>
      </c>
      <c r="C9" s="24">
        <v>170.69767441860466</v>
      </c>
      <c r="D9" s="24">
        <v>206.60465116279067</v>
      </c>
      <c r="E9" s="24">
        <v>205.11627906976747</v>
      </c>
      <c r="G9" s="16"/>
      <c r="H9" s="16"/>
      <c r="I9" s="16"/>
      <c r="J9" s="16"/>
      <c r="K9" s="16"/>
      <c r="L9" s="16"/>
      <c r="M9" s="16"/>
    </row>
    <row r="10" spans="1:13" ht="16.149999999999999" x14ac:dyDescent="0.45">
      <c r="A10" s="23"/>
      <c r="B10" s="24">
        <v>104.65116279069768</v>
      </c>
      <c r="C10" s="24">
        <v>167.62790697674419</v>
      </c>
      <c r="D10" s="24">
        <v>199.72093023255815</v>
      </c>
      <c r="E10" s="24">
        <v>158.23255813953489</v>
      </c>
      <c r="G10" s="16"/>
      <c r="H10" s="16"/>
      <c r="I10" s="16"/>
      <c r="J10" s="16"/>
      <c r="K10" s="16"/>
      <c r="L10" s="16"/>
      <c r="M10" s="16"/>
    </row>
    <row r="11" spans="1:13" ht="16.149999999999999" x14ac:dyDescent="0.45">
      <c r="A11" s="23"/>
      <c r="B11" s="24">
        <v>95.162790697674424</v>
      </c>
      <c r="C11" s="24">
        <v>161.48837209302326</v>
      </c>
      <c r="D11" s="24"/>
      <c r="E11" s="24">
        <v>173.2093023255814</v>
      </c>
      <c r="G11" s="16"/>
      <c r="H11" s="16"/>
      <c r="I11" s="16"/>
      <c r="J11" s="16"/>
      <c r="K11" s="16"/>
      <c r="L11" s="16"/>
      <c r="M11" s="16"/>
    </row>
    <row r="12" spans="1:13" ht="16.149999999999999" x14ac:dyDescent="0.45">
      <c r="A12" s="23"/>
      <c r="B12" s="24">
        <v>100</v>
      </c>
      <c r="C12" s="24">
        <v>169.58139534883719</v>
      </c>
      <c r="D12" s="24">
        <v>195.90697674418607</v>
      </c>
      <c r="E12" s="24">
        <v>179.25581395348837</v>
      </c>
      <c r="G12" s="16"/>
      <c r="H12" s="16"/>
      <c r="I12" s="16"/>
      <c r="J12" s="16"/>
      <c r="K12" s="16"/>
      <c r="L12" s="16"/>
      <c r="M12" s="16"/>
    </row>
    <row r="13" spans="1:13" ht="16.149999999999999" x14ac:dyDescent="0.45">
      <c r="A13" s="23" t="s">
        <v>18</v>
      </c>
      <c r="B13" s="23">
        <f>AVERAGE(B9:B12)</f>
        <v>101.65116279069768</v>
      </c>
      <c r="C13" s="23">
        <f>AVERAGE(C9:C12)</f>
        <v>167.34883720930233</v>
      </c>
      <c r="D13" s="23">
        <f t="shared" ref="D13:E13" si="1">AVERAGE(D9:D12)</f>
        <v>200.7441860465116</v>
      </c>
      <c r="E13" s="23">
        <f t="shared" si="1"/>
        <v>178.95348837209303</v>
      </c>
      <c r="G13" s="16"/>
      <c r="H13" s="16"/>
      <c r="I13" s="16"/>
      <c r="J13" s="16"/>
      <c r="K13" s="16"/>
      <c r="L13" s="16"/>
      <c r="M13" s="16"/>
    </row>
    <row r="14" spans="1:13" ht="16.149999999999999" x14ac:dyDescent="0.45">
      <c r="A14" t="s">
        <v>27</v>
      </c>
      <c r="B14">
        <f>B13/$B$13*100</f>
        <v>100</v>
      </c>
      <c r="C14">
        <f t="shared" ref="C14:E14" si="2">C13/$B$13*100</f>
        <v>164.63051933196064</v>
      </c>
      <c r="D14">
        <f t="shared" si="2"/>
        <v>197.48341340654306</v>
      </c>
      <c r="E14">
        <f t="shared" si="2"/>
        <v>176.04667124227865</v>
      </c>
      <c r="G14" s="16"/>
      <c r="H14" s="16"/>
      <c r="I14" s="16"/>
      <c r="J14" s="16"/>
      <c r="K14" s="16"/>
      <c r="L14" s="16"/>
      <c r="M14" s="16"/>
    </row>
    <row r="15" spans="1:13" ht="16.149999999999999" x14ac:dyDescent="0.45">
      <c r="G15" s="16"/>
      <c r="H15" s="16"/>
      <c r="I15" s="16"/>
      <c r="J15" s="16"/>
      <c r="K15" s="16"/>
      <c r="L15" s="16"/>
      <c r="M15" s="16"/>
    </row>
    <row r="16" spans="1:13" ht="16.149999999999999" x14ac:dyDescent="0.45">
      <c r="B16" s="16" t="s">
        <v>11</v>
      </c>
      <c r="C16" s="16" t="s">
        <v>12</v>
      </c>
      <c r="D16" s="17" t="s">
        <v>23</v>
      </c>
      <c r="E16" s="19" t="s">
        <v>25</v>
      </c>
      <c r="G16" s="16"/>
      <c r="H16" s="16"/>
      <c r="I16" s="16"/>
      <c r="J16" s="16"/>
      <c r="K16" s="16"/>
      <c r="L16" s="16"/>
      <c r="M16" s="16"/>
    </row>
    <row r="17" spans="1:13" ht="16.149999999999999" x14ac:dyDescent="0.45">
      <c r="A17" s="16">
        <v>20200901</v>
      </c>
      <c r="B17" s="16">
        <v>103.67211561241412</v>
      </c>
      <c r="C17" s="16">
        <v>163.84742951907128</v>
      </c>
      <c r="D17" s="16">
        <v>177.20919213456526</v>
      </c>
      <c r="E17" s="16">
        <v>139.11395403932718</v>
      </c>
      <c r="G17" s="16"/>
      <c r="H17" s="16"/>
      <c r="I17" s="16"/>
      <c r="J17" s="16"/>
      <c r="K17" s="16"/>
      <c r="L17" s="16"/>
      <c r="M17" s="16"/>
    </row>
    <row r="18" spans="1:13" ht="16.149999999999999" x14ac:dyDescent="0.45">
      <c r="B18" s="16">
        <v>100.73442312248282</v>
      </c>
      <c r="C18" s="16">
        <v>169.53328595119638</v>
      </c>
      <c r="D18" s="16">
        <v>177.58824923004028</v>
      </c>
      <c r="E18" s="16">
        <v>130.58516939113954</v>
      </c>
      <c r="G18" s="16"/>
      <c r="H18" s="16"/>
      <c r="I18" s="16"/>
      <c r="J18" s="16"/>
      <c r="K18" s="16"/>
      <c r="L18" s="16"/>
      <c r="M18" s="16"/>
    </row>
    <row r="19" spans="1:13" ht="16.149999999999999" x14ac:dyDescent="0.45">
      <c r="B19" s="16">
        <v>96.849087893864009</v>
      </c>
      <c r="C19" s="16">
        <v>164.32125088841505</v>
      </c>
      <c r="D19" s="16">
        <v>163.0893153281213</v>
      </c>
      <c r="E19" s="16">
        <v>132.19616204690831</v>
      </c>
      <c r="G19" s="16"/>
      <c r="H19" s="16"/>
      <c r="I19" s="16"/>
      <c r="J19" s="16"/>
      <c r="K19" s="16"/>
      <c r="L19" s="16"/>
      <c r="M19" s="16"/>
    </row>
    <row r="20" spans="1:13" ht="16.149999999999999" x14ac:dyDescent="0.45">
      <c r="B20" s="16">
        <v>98.744373371239035</v>
      </c>
      <c r="C20" s="16">
        <v>191.51859748874674</v>
      </c>
      <c r="D20" s="16">
        <v>176.3563136697465</v>
      </c>
      <c r="E20" s="16">
        <v>145.55792466240226</v>
      </c>
      <c r="G20" s="16"/>
      <c r="H20" s="16"/>
      <c r="I20" s="16"/>
      <c r="J20" s="16"/>
      <c r="K20" s="16"/>
      <c r="L20" s="16"/>
      <c r="M20" s="16"/>
    </row>
    <row r="21" spans="1:13" ht="16.149999999999999" x14ac:dyDescent="0.45">
      <c r="A21" t="s">
        <v>18</v>
      </c>
      <c r="B21">
        <f>AVERAGE(B17:B20)</f>
        <v>100</v>
      </c>
      <c r="C21">
        <f t="shared" ref="C21:E21" si="3">AVERAGE(C17:C20)</f>
        <v>172.30514096185738</v>
      </c>
      <c r="D21">
        <f t="shared" si="3"/>
        <v>173.56076759061835</v>
      </c>
      <c r="E21">
        <f t="shared" si="3"/>
        <v>136.86330253494432</v>
      </c>
      <c r="G21" s="16"/>
      <c r="H21" s="16"/>
      <c r="I21" s="16"/>
      <c r="J21" s="16"/>
      <c r="K21" s="16"/>
      <c r="L21" s="16"/>
      <c r="M21" s="16"/>
    </row>
    <row r="22" spans="1:13" ht="16.149999999999999" x14ac:dyDescent="0.45">
      <c r="G22" s="16"/>
      <c r="H22" s="16"/>
      <c r="I22" s="16"/>
      <c r="J22" s="16"/>
      <c r="K22" s="16"/>
      <c r="L22" s="16"/>
      <c r="M22" s="1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E665-9377-423A-8712-9B9E9C0072C8}">
  <dimension ref="A1:E28"/>
  <sheetViews>
    <sheetView tabSelected="1" topLeftCell="A6" workbookViewId="0">
      <selection activeCell="I19" sqref="I19"/>
    </sheetView>
  </sheetViews>
  <sheetFormatPr defaultRowHeight="15" x14ac:dyDescent="0.45"/>
  <cols>
    <col min="1" max="1" width="9.7109375" bestFit="1" customWidth="1"/>
  </cols>
  <sheetData>
    <row r="1" spans="1:5" ht="16.149999999999999" x14ac:dyDescent="0.45">
      <c r="B1" s="16" t="s">
        <v>11</v>
      </c>
      <c r="C1" s="16" t="s">
        <v>12</v>
      </c>
      <c r="D1" s="16" t="s">
        <v>19</v>
      </c>
      <c r="E1" s="16" t="s">
        <v>20</v>
      </c>
    </row>
    <row r="2" spans="1:5" ht="16.149999999999999" x14ac:dyDescent="0.45">
      <c r="A2" s="16">
        <v>20200901</v>
      </c>
      <c r="B2" s="16">
        <v>96.342637151106828</v>
      </c>
      <c r="C2" s="16"/>
      <c r="D2" s="16">
        <v>130.99133782483156</v>
      </c>
      <c r="E2" s="16">
        <v>77.478344562078917</v>
      </c>
    </row>
    <row r="3" spans="1:5" ht="16.149999999999999" x14ac:dyDescent="0.45">
      <c r="B3" s="16">
        <v>101.15495668912415</v>
      </c>
      <c r="C3" s="16">
        <v>200.19249278152068</v>
      </c>
      <c r="D3" s="16">
        <v>136.47738209817132</v>
      </c>
      <c r="E3" s="16">
        <v>74.687199230028867</v>
      </c>
    </row>
    <row r="4" spans="1:5" ht="16.149999999999999" x14ac:dyDescent="0.45">
      <c r="B4" s="16">
        <v>100.1924927815207</v>
      </c>
      <c r="C4" s="16">
        <v>187.00673724735321</v>
      </c>
      <c r="D4" s="16">
        <v>126.56400384985562</v>
      </c>
      <c r="E4" s="16">
        <v>73.628488931665061</v>
      </c>
    </row>
    <row r="5" spans="1:5" ht="16.149999999999999" x14ac:dyDescent="0.45">
      <c r="B5" s="16">
        <v>102.30991337824831</v>
      </c>
      <c r="C5" s="16">
        <v>180.26948989412895</v>
      </c>
      <c r="D5" s="16">
        <v>132.05004812319535</v>
      </c>
      <c r="E5" s="16">
        <v>73.435996150144362</v>
      </c>
    </row>
    <row r="6" spans="1:5" x14ac:dyDescent="0.45">
      <c r="A6" t="s">
        <v>18</v>
      </c>
      <c r="B6">
        <f>AVERAGE(B2:B5)</f>
        <v>100</v>
      </c>
      <c r="C6">
        <f t="shared" ref="C6:E6" si="0">AVERAGE(C2:C5)</f>
        <v>189.15623997433428</v>
      </c>
      <c r="D6">
        <f t="shared" si="0"/>
        <v>131.52069297401346</v>
      </c>
      <c r="E6">
        <f t="shared" si="0"/>
        <v>74.807507218479302</v>
      </c>
    </row>
    <row r="8" spans="1:5" ht="16.149999999999999" x14ac:dyDescent="0.45">
      <c r="B8" s="16" t="s">
        <v>11</v>
      </c>
      <c r="C8" s="16" t="s">
        <v>12</v>
      </c>
      <c r="D8" s="16" t="s">
        <v>19</v>
      </c>
      <c r="E8" s="16" t="s">
        <v>20</v>
      </c>
    </row>
    <row r="9" spans="1:5" ht="16.149999999999999" x14ac:dyDescent="0.45">
      <c r="A9" s="16">
        <v>20200828</v>
      </c>
      <c r="B9" s="16">
        <v>94.876223373632698</v>
      </c>
      <c r="C9" s="16">
        <v>167.49184417578201</v>
      </c>
      <c r="D9" s="16">
        <v>155.13337171368261</v>
      </c>
      <c r="E9" s="16">
        <v>72.692381500671658</v>
      </c>
    </row>
    <row r="10" spans="1:5" ht="16.149999999999999" x14ac:dyDescent="0.45">
      <c r="B10" s="16">
        <v>105.08539627710611</v>
      </c>
      <c r="C10" s="16">
        <v>169.79466513145269</v>
      </c>
      <c r="D10" s="16">
        <v>149.06927653041643</v>
      </c>
      <c r="E10" s="16">
        <v>59.643062751871042</v>
      </c>
    </row>
    <row r="11" spans="1:5" ht="16.149999999999999" x14ac:dyDescent="0.45">
      <c r="B11" s="16">
        <v>100.63327576280943</v>
      </c>
      <c r="C11" s="16">
        <v>173.86298215313761</v>
      </c>
      <c r="D11" s="16">
        <v>169.94818652849742</v>
      </c>
      <c r="E11" s="16">
        <v>73.459988485895209</v>
      </c>
    </row>
    <row r="12" spans="1:5" ht="16.149999999999999" x14ac:dyDescent="0.45">
      <c r="B12" s="16">
        <v>99.405104586451742</v>
      </c>
      <c r="C12" s="16">
        <v>171.25311840337747</v>
      </c>
      <c r="D12" s="16"/>
      <c r="E12" s="16">
        <v>74.764920360775278</v>
      </c>
    </row>
    <row r="13" spans="1:5" x14ac:dyDescent="0.45">
      <c r="A13" t="s">
        <v>18</v>
      </c>
      <c r="B13">
        <f>AVERAGE(B9:B12)</f>
        <v>99.999999999999986</v>
      </c>
      <c r="C13">
        <f t="shared" ref="C13" si="1">AVERAGE(C9:C12)</f>
        <v>170.60065246593746</v>
      </c>
      <c r="D13">
        <f t="shared" ref="D13" si="2">AVERAGE(D9:D12)</f>
        <v>158.05027825753214</v>
      </c>
      <c r="E13">
        <f t="shared" ref="E13" si="3">AVERAGE(E9:E12)</f>
        <v>70.140088274803304</v>
      </c>
    </row>
    <row r="15" spans="1:5" ht="16.149999999999999" x14ac:dyDescent="0.45">
      <c r="B15" s="16" t="s">
        <v>11</v>
      </c>
      <c r="C15" s="16" t="s">
        <v>12</v>
      </c>
      <c r="D15" s="16" t="s">
        <v>19</v>
      </c>
      <c r="E15" s="16" t="s">
        <v>20</v>
      </c>
    </row>
    <row r="16" spans="1:5" ht="16.149999999999999" x14ac:dyDescent="0.45">
      <c r="A16" s="16">
        <v>20200830</v>
      </c>
      <c r="B16" s="16">
        <v>96.453900709219866</v>
      </c>
      <c r="C16" s="16">
        <v>156.02836879432624</v>
      </c>
      <c r="D16" s="16">
        <v>150.86119554204663</v>
      </c>
      <c r="E16" s="16">
        <v>82.066869300911861</v>
      </c>
    </row>
    <row r="17" spans="1:5" ht="16.149999999999999" x14ac:dyDescent="0.45">
      <c r="B17" s="16">
        <v>106.5856129685917</v>
      </c>
      <c r="C17" s="16">
        <v>169.09827760891591</v>
      </c>
      <c r="D17" s="16">
        <v>155.92705167173253</v>
      </c>
      <c r="E17" s="16">
        <v>78.115501519756847</v>
      </c>
    </row>
    <row r="18" spans="1:5" ht="16.149999999999999" x14ac:dyDescent="0.45">
      <c r="B18" s="16">
        <v>105.57244174265452</v>
      </c>
      <c r="C18" s="16">
        <v>167.3758865248227</v>
      </c>
      <c r="D18" s="16">
        <v>163.62715298885513</v>
      </c>
      <c r="E18" s="16">
        <v>85.106382978723417</v>
      </c>
    </row>
    <row r="19" spans="1:5" ht="16.149999999999999" x14ac:dyDescent="0.45">
      <c r="B19" s="16">
        <v>100</v>
      </c>
      <c r="C19" s="16"/>
      <c r="D19" s="16">
        <v>152.88753799392097</v>
      </c>
      <c r="E19" s="16">
        <v>81.458966565349542</v>
      </c>
    </row>
    <row r="20" spans="1:5" x14ac:dyDescent="0.45">
      <c r="A20" t="s">
        <v>18</v>
      </c>
      <c r="B20">
        <f>AVERAGE(B16:B19)</f>
        <v>102.15298885511652</v>
      </c>
      <c r="C20">
        <f t="shared" ref="C20" si="4">AVERAGE(C16:C19)</f>
        <v>164.16751097602162</v>
      </c>
      <c r="D20">
        <f t="shared" ref="D20" si="5">AVERAGE(D16:D19)</f>
        <v>155.82573454913882</v>
      </c>
      <c r="E20">
        <f t="shared" ref="E20" si="6">AVERAGE(E16:E19)</f>
        <v>81.686930091185417</v>
      </c>
    </row>
    <row r="21" spans="1:5" x14ac:dyDescent="0.45">
      <c r="A21" t="s">
        <v>27</v>
      </c>
      <c r="B21">
        <f>B20/$B$20*100</f>
        <v>100</v>
      </c>
      <c r="C21">
        <f t="shared" ref="C21:E21" si="7">C20/$B$20*100</f>
        <v>160.70749648731299</v>
      </c>
      <c r="D21">
        <f t="shared" si="7"/>
        <v>152.54153235804614</v>
      </c>
      <c r="E21">
        <f t="shared" si="7"/>
        <v>79.965286387304729</v>
      </c>
    </row>
    <row r="23" spans="1:5" ht="16.149999999999999" x14ac:dyDescent="0.45">
      <c r="B23" s="16" t="s">
        <v>11</v>
      </c>
      <c r="C23" s="16" t="s">
        <v>12</v>
      </c>
      <c r="D23" s="16" t="s">
        <v>19</v>
      </c>
      <c r="E23" s="16" t="s">
        <v>20</v>
      </c>
    </row>
    <row r="24" spans="1:5" ht="16.149999999999999" x14ac:dyDescent="0.45">
      <c r="A24" s="16">
        <v>20200502</v>
      </c>
      <c r="B24" s="16">
        <v>91.683778234086233</v>
      </c>
      <c r="C24" s="16">
        <v>143.63449691991784</v>
      </c>
      <c r="D24" s="16">
        <v>151.64271047227925</v>
      </c>
      <c r="E24" s="16"/>
    </row>
    <row r="25" spans="1:5" ht="16.149999999999999" x14ac:dyDescent="0.45">
      <c r="B25" s="16">
        <v>106.98151950718685</v>
      </c>
      <c r="C25" s="16">
        <v>138.19301848049278</v>
      </c>
      <c r="D25" s="16"/>
      <c r="E25" s="16">
        <v>82.546201232032843</v>
      </c>
    </row>
    <row r="26" spans="1:5" ht="16.149999999999999" x14ac:dyDescent="0.45">
      <c r="B26" s="16">
        <v>103.28542094455851</v>
      </c>
      <c r="C26" s="16">
        <v>134.29158110882955</v>
      </c>
      <c r="D26" s="16">
        <v>150.61601642710468</v>
      </c>
      <c r="E26" s="16">
        <v>87.063655030800817</v>
      </c>
    </row>
    <row r="27" spans="1:5" ht="16.149999999999999" x14ac:dyDescent="0.45">
      <c r="B27" s="16">
        <v>98.049281314168368</v>
      </c>
      <c r="C27" s="16">
        <v>145.0718685831622</v>
      </c>
      <c r="D27" s="16">
        <v>154.41478439425049</v>
      </c>
      <c r="E27" s="16">
        <v>85.523613963038997</v>
      </c>
    </row>
    <row r="28" spans="1:5" x14ac:dyDescent="0.45">
      <c r="A28" t="s">
        <v>18</v>
      </c>
      <c r="B28">
        <f>AVERAGE(B24:B27)</f>
        <v>99.999999999999986</v>
      </c>
      <c r="C28">
        <f t="shared" ref="C28" si="8">AVERAGE(C24:C27)</f>
        <v>140.2977412731006</v>
      </c>
      <c r="D28">
        <f t="shared" ref="D28" si="9">AVERAGE(D24:D27)</f>
        <v>152.22450376454481</v>
      </c>
      <c r="E28">
        <f t="shared" ref="E28" si="10">AVERAGE(E24:E27)</f>
        <v>85.044490075290881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16DD-6B2C-4298-AF19-F9821ADED69A}">
  <dimension ref="A1:E20"/>
  <sheetViews>
    <sheetView workbookViewId="0">
      <selection activeCell="I18" sqref="I18"/>
    </sheetView>
  </sheetViews>
  <sheetFormatPr defaultRowHeight="15" x14ac:dyDescent="0.45"/>
  <cols>
    <col min="1" max="1" width="9.7109375" bestFit="1" customWidth="1"/>
  </cols>
  <sheetData>
    <row r="1" spans="1:5" ht="16.149999999999999" x14ac:dyDescent="0.45">
      <c r="B1" s="16" t="s">
        <v>11</v>
      </c>
      <c r="C1" s="16" t="s">
        <v>12</v>
      </c>
      <c r="D1" s="16" t="s">
        <v>15</v>
      </c>
      <c r="E1" s="16" t="s">
        <v>16</v>
      </c>
    </row>
    <row r="2" spans="1:5" ht="16.149999999999999" x14ac:dyDescent="0.45">
      <c r="A2" s="16">
        <v>20200830</v>
      </c>
      <c r="B2" s="16">
        <v>100.56860321384427</v>
      </c>
      <c r="C2" s="16">
        <v>191.94066749072931</v>
      </c>
      <c r="D2" s="16">
        <v>121.43386897404204</v>
      </c>
      <c r="E2" s="16">
        <v>99.678615574783691</v>
      </c>
    </row>
    <row r="3" spans="1:5" ht="16.149999999999999" x14ac:dyDescent="0.45">
      <c r="B3" s="16">
        <v>104.42521631644006</v>
      </c>
      <c r="C3" s="16"/>
      <c r="D3" s="16">
        <v>128.05933250927072</v>
      </c>
      <c r="E3" s="16">
        <v>110.55624227441285</v>
      </c>
    </row>
    <row r="4" spans="1:5" ht="16.149999999999999" x14ac:dyDescent="0.45">
      <c r="B4" s="16">
        <v>90.284301606922128</v>
      </c>
      <c r="C4" s="16">
        <v>178.09641532756493</v>
      </c>
      <c r="D4" s="16">
        <v>113.91841779975277</v>
      </c>
      <c r="E4" s="16">
        <v>110.75401730531522</v>
      </c>
    </row>
    <row r="5" spans="1:5" ht="16.149999999999999" x14ac:dyDescent="0.45">
      <c r="B5" s="16">
        <v>104.72187886279359</v>
      </c>
      <c r="C5" s="16">
        <v>193.81953028430163</v>
      </c>
      <c r="D5" s="16"/>
      <c r="E5" s="16">
        <v>101.65636588380718</v>
      </c>
    </row>
    <row r="6" spans="1:5" x14ac:dyDescent="0.45">
      <c r="A6" t="s">
        <v>17</v>
      </c>
      <c r="B6">
        <f>AVERAGE(B2:B5)</f>
        <v>100</v>
      </c>
      <c r="C6">
        <f t="shared" ref="C6" si="0">AVERAGE(C2:C5)</f>
        <v>187.95220436753198</v>
      </c>
      <c r="D6">
        <f>AVERAGE(D2:D5)</f>
        <v>121.13720642768851</v>
      </c>
      <c r="E6">
        <f>AVERAGE(E2:E5)</f>
        <v>105.66131025957975</v>
      </c>
    </row>
    <row r="8" spans="1:5" ht="16.149999999999999" x14ac:dyDescent="0.45">
      <c r="B8" s="16" t="s">
        <v>11</v>
      </c>
      <c r="C8" s="16" t="s">
        <v>12</v>
      </c>
      <c r="D8" s="16" t="s">
        <v>15</v>
      </c>
      <c r="E8" s="16" t="s">
        <v>16</v>
      </c>
    </row>
    <row r="9" spans="1:5" ht="16.149999999999999" x14ac:dyDescent="0.45">
      <c r="A9" s="16">
        <v>20200828</v>
      </c>
      <c r="B9" s="16">
        <v>92.15017064846414</v>
      </c>
      <c r="C9" s="16">
        <v>165.49108835798253</v>
      </c>
      <c r="D9" s="16">
        <v>102.23739097459233</v>
      </c>
      <c r="E9" s="16">
        <v>93.742889647326493</v>
      </c>
    </row>
    <row r="10" spans="1:5" ht="16.149999999999999" x14ac:dyDescent="0.45">
      <c r="B10" s="16">
        <v>95.866514979142963</v>
      </c>
      <c r="C10" s="16">
        <v>160.18202502844139</v>
      </c>
      <c r="D10" s="16">
        <v>124.38376943496397</v>
      </c>
      <c r="E10" s="16">
        <v>94.27379598028061</v>
      </c>
    </row>
    <row r="11" spans="1:5" ht="16.149999999999999" x14ac:dyDescent="0.45">
      <c r="B11" s="16">
        <v>98.521046643913508</v>
      </c>
      <c r="C11" s="16">
        <v>162.38149412210842</v>
      </c>
      <c r="D11" s="16">
        <v>105.34698521046641</v>
      </c>
      <c r="E11" s="16">
        <v>93.51535836177473</v>
      </c>
    </row>
    <row r="12" spans="1:5" ht="16.149999999999999" x14ac:dyDescent="0.45">
      <c r="B12" s="16">
        <v>113.46226772847932</v>
      </c>
      <c r="C12" s="16"/>
      <c r="D12" s="16">
        <v>131.51308304891921</v>
      </c>
      <c r="E12" s="16">
        <v>111.41448615851344</v>
      </c>
    </row>
    <row r="13" spans="1:5" x14ac:dyDescent="0.45">
      <c r="A13" t="s">
        <v>17</v>
      </c>
      <c r="B13">
        <f>AVERAGE(B9:B12)</f>
        <v>99.999999999999986</v>
      </c>
      <c r="C13">
        <f t="shared" ref="C13" si="1">AVERAGE(C9:C12)</f>
        <v>162.68486916951076</v>
      </c>
      <c r="D13">
        <f>AVERAGE(D9:D12)</f>
        <v>115.87030716723548</v>
      </c>
      <c r="E13">
        <f>AVERAGE(E9:E12)</f>
        <v>98.236632536973815</v>
      </c>
    </row>
    <row r="15" spans="1:5" ht="16.149999999999999" x14ac:dyDescent="0.45">
      <c r="B15" s="16" t="s">
        <v>11</v>
      </c>
      <c r="C15" s="16" t="s">
        <v>12</v>
      </c>
      <c r="D15" s="16" t="s">
        <v>15</v>
      </c>
      <c r="E15" s="16" t="s">
        <v>16</v>
      </c>
    </row>
    <row r="16" spans="1:5" ht="16.149999999999999" x14ac:dyDescent="0.45">
      <c r="A16" s="16">
        <v>20200901</v>
      </c>
      <c r="B16" s="16">
        <v>89.902868759882551</v>
      </c>
      <c r="C16" s="16">
        <v>174.83623221142989</v>
      </c>
      <c r="D16" s="16">
        <v>97.673367969279425</v>
      </c>
      <c r="E16" s="16">
        <v>98.757623672916196</v>
      </c>
    </row>
    <row r="17" spans="1:5" ht="16.149999999999999" x14ac:dyDescent="0.45">
      <c r="B17" s="16">
        <v>117.5513892026203</v>
      </c>
      <c r="C17" s="16">
        <v>181.16105714931106</v>
      </c>
      <c r="D17" s="16">
        <v>96.589112265642655</v>
      </c>
      <c r="E17" s="16">
        <v>98.757623672916196</v>
      </c>
    </row>
    <row r="18" spans="1:5" ht="16.149999999999999" x14ac:dyDescent="0.45">
      <c r="B18" s="16">
        <v>87.82471199457872</v>
      </c>
      <c r="C18" s="16">
        <v>178.90219110006777</v>
      </c>
      <c r="D18" s="16">
        <v>104.63067540094872</v>
      </c>
      <c r="E18" s="16">
        <v>117.5513892026203</v>
      </c>
    </row>
    <row r="19" spans="1:5" ht="16.149999999999999" x14ac:dyDescent="0.45">
      <c r="B19" s="16">
        <v>104.72103004291846</v>
      </c>
      <c r="C19" s="16">
        <v>260.58278744070481</v>
      </c>
      <c r="D19" s="16">
        <v>127.49039981929073</v>
      </c>
      <c r="E19" s="16">
        <v>102.01039078382652</v>
      </c>
    </row>
    <row r="20" spans="1:5" x14ac:dyDescent="0.45">
      <c r="A20" t="s">
        <v>17</v>
      </c>
      <c r="B20">
        <f>AVERAGE(B16:B19)</f>
        <v>100.00000000000001</v>
      </c>
      <c r="C20">
        <f t="shared" ref="C20" si="2">AVERAGE(C16:C19)</f>
        <v>198.87056697537838</v>
      </c>
      <c r="D20">
        <f>AVERAGE(D16:D19)</f>
        <v>106.59588886379038</v>
      </c>
      <c r="E20">
        <f>AVERAGE(E16:E19)</f>
        <v>104.26925683306982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Melanin assay</vt:lpstr>
      <vt:lpstr>raw data CRE</vt:lpstr>
      <vt:lpstr>raw data FEE</vt:lpstr>
      <vt:lpstr>raw data IAE</vt:lpstr>
      <vt:lpstr>raw data RPE</vt:lpstr>
      <vt:lpstr>raw data 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2026-03-05T07:50:32Z</dcterms:modified>
</cp:coreProperties>
</file>