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user\Desktop\大學的東西\專題研究\高中科展\paper\Experiment data\"/>
    </mc:Choice>
  </mc:AlternateContent>
  <xr:revisionPtr revIDLastSave="0" documentId="13_ncr:1_{1393E088-C001-46EF-9212-F573D6AEA6B0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MTT combine" sheetId="1" r:id="rId1"/>
    <sheet name="raw data CRE+RPE" sheetId="2" r:id="rId2"/>
    <sheet name="raw data CRE+RTE" sheetId="3" r:id="rId3"/>
    <sheet name="raw data RPE+RTE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0" i="3" l="1"/>
  <c r="L10" i="3"/>
  <c r="L3" i="3"/>
  <c r="C11" i="3"/>
  <c r="B11" i="3"/>
  <c r="B4" i="3"/>
  <c r="L3" i="2"/>
  <c r="L10" i="2"/>
  <c r="M10" i="2"/>
  <c r="L4" i="2"/>
  <c r="L11" i="2"/>
  <c r="M11" i="2"/>
  <c r="C13" i="3"/>
  <c r="B13" i="3"/>
  <c r="B6" i="3"/>
  <c r="C13" i="2"/>
  <c r="B13" i="2"/>
  <c r="B6" i="2"/>
  <c r="C12" i="3"/>
  <c r="B12" i="3"/>
  <c r="B5" i="3"/>
  <c r="C10" i="2"/>
  <c r="B10" i="2"/>
  <c r="B3" i="2"/>
  <c r="M14" i="3"/>
  <c r="L14" i="3"/>
  <c r="L7" i="3"/>
  <c r="G5" i="3"/>
  <c r="G12" i="3"/>
  <c r="H12" i="3"/>
  <c r="L6" i="4"/>
  <c r="L13" i="4"/>
  <c r="M13" i="4"/>
  <c r="L4" i="4"/>
  <c r="L11" i="4"/>
  <c r="M11" i="4"/>
  <c r="B7" i="3"/>
  <c r="B14" i="3"/>
  <c r="C14" i="3"/>
  <c r="M11" i="3"/>
  <c r="L11" i="3"/>
  <c r="L4" i="3"/>
  <c r="M10" i="4"/>
  <c r="L10" i="4"/>
  <c r="L3" i="4"/>
  <c r="M14" i="2"/>
  <c r="L14" i="2"/>
  <c r="L7" i="2"/>
  <c r="C9" i="2"/>
  <c r="B9" i="2"/>
  <c r="B2" i="2"/>
  <c r="G3" i="3"/>
  <c r="G10" i="3"/>
  <c r="H10" i="3"/>
  <c r="C10" i="3"/>
  <c r="B10" i="3"/>
  <c r="B3" i="3"/>
  <c r="G2" i="2"/>
  <c r="G9" i="2"/>
  <c r="H9" i="2"/>
  <c r="G2" i="3"/>
  <c r="G9" i="3"/>
  <c r="H9" i="3"/>
  <c r="H13" i="3"/>
  <c r="G13" i="3"/>
  <c r="G6" i="3"/>
  <c r="M13" i="3"/>
  <c r="L13" i="3"/>
  <c r="L6" i="3"/>
  <c r="M12" i="3"/>
  <c r="L12" i="3"/>
  <c r="L5" i="3"/>
  <c r="G3" i="2"/>
  <c r="G10" i="2"/>
  <c r="H10" i="2"/>
  <c r="C14" i="2"/>
  <c r="B14" i="2"/>
  <c r="B7" i="2"/>
  <c r="L7" i="4"/>
  <c r="L14" i="4"/>
  <c r="M14" i="4"/>
  <c r="H11" i="2"/>
  <c r="G11" i="2"/>
  <c r="G4" i="2"/>
  <c r="G7" i="2"/>
  <c r="G14" i="2"/>
  <c r="H14" i="2"/>
  <c r="G7" i="3"/>
  <c r="G14" i="3"/>
  <c r="H14" i="3"/>
  <c r="L5" i="2"/>
  <c r="L12" i="2"/>
  <c r="M12" i="2"/>
  <c r="M13" i="2"/>
  <c r="L13" i="2"/>
  <c r="L6" i="2"/>
  <c r="C9" i="3"/>
  <c r="B9" i="3"/>
  <c r="B2" i="3"/>
  <c r="L2" i="3"/>
  <c r="L9" i="3"/>
  <c r="M9" i="3"/>
  <c r="H13" i="2"/>
  <c r="G13" i="2"/>
  <c r="G6" i="2"/>
  <c r="L2" i="4"/>
  <c r="L9" i="4"/>
  <c r="M9" i="4"/>
  <c r="M12" i="4"/>
  <c r="L12" i="4"/>
  <c r="L5" i="4"/>
  <c r="B4" i="2"/>
  <c r="B11" i="2"/>
  <c r="C11" i="2"/>
  <c r="H12" i="2"/>
  <c r="G12" i="2"/>
  <c r="G5" i="2"/>
  <c r="M9" i="2"/>
  <c r="L9" i="2"/>
  <c r="L2" i="2"/>
  <c r="H11" i="3"/>
  <c r="G11" i="3"/>
  <c r="G4" i="3"/>
  <c r="B5" i="2"/>
  <c r="B12" i="2"/>
  <c r="C12" i="2"/>
  <c r="I2" i="3"/>
  <c r="D3" i="3"/>
  <c r="H4" i="3"/>
  <c r="N5" i="3"/>
  <c r="I6" i="3"/>
  <c r="D7" i="3"/>
  <c r="C4" i="3"/>
  <c r="C7" i="3"/>
  <c r="M2" i="3"/>
  <c r="N2" i="3"/>
  <c r="C5" i="3"/>
  <c r="H7" i="3"/>
  <c r="M4" i="3"/>
  <c r="I4" i="3"/>
  <c r="M7" i="3"/>
  <c r="M6" i="3"/>
  <c r="D4" i="3"/>
  <c r="N4" i="3"/>
  <c r="I7" i="3"/>
  <c r="N6" i="3"/>
  <c r="I5" i="3"/>
  <c r="C6" i="3"/>
  <c r="H5" i="3"/>
  <c r="H2" i="3"/>
  <c r="D2" i="3"/>
  <c r="D6" i="3"/>
  <c r="C3" i="3"/>
  <c r="H3" i="3"/>
  <c r="M3" i="3"/>
  <c r="C2" i="3"/>
  <c r="N7" i="3"/>
  <c r="H6" i="3"/>
  <c r="I3" i="3"/>
  <c r="D5" i="3"/>
  <c r="N3" i="3"/>
  <c r="M5" i="3"/>
  <c r="M3" i="4"/>
  <c r="M6" i="4"/>
  <c r="N5" i="4"/>
  <c r="M5" i="4"/>
  <c r="N2" i="4"/>
  <c r="M4" i="4"/>
  <c r="N6" i="4"/>
  <c r="M7" i="4"/>
  <c r="N7" i="4"/>
  <c r="M2" i="4"/>
  <c r="N3" i="4"/>
  <c r="N4" i="4"/>
  <c r="N2" i="2"/>
  <c r="M2" i="2"/>
  <c r="C2" i="2"/>
  <c r="I6" i="2"/>
  <c r="I5" i="2"/>
  <c r="C3" i="2"/>
  <c r="H3" i="2"/>
  <c r="H7" i="2"/>
  <c r="H6" i="2"/>
  <c r="D3" i="2"/>
  <c r="H5" i="2"/>
  <c r="D4" i="2"/>
  <c r="C7" i="2"/>
  <c r="N4" i="2"/>
  <c r="C6" i="2"/>
  <c r="N7" i="2"/>
  <c r="D5" i="2"/>
  <c r="D6" i="2"/>
  <c r="I4" i="2"/>
  <c r="D7" i="2"/>
  <c r="M4" i="2"/>
  <c r="M3" i="2"/>
  <c r="I3" i="2"/>
  <c r="H4" i="2"/>
  <c r="I2" i="2"/>
  <c r="N5" i="2"/>
  <c r="C5" i="2"/>
  <c r="M6" i="2"/>
  <c r="N6" i="2"/>
  <c r="D2" i="2"/>
  <c r="M7" i="2"/>
  <c r="I7" i="2"/>
  <c r="C4" i="2"/>
  <c r="M5" i="2"/>
  <c r="N3" i="2"/>
  <c r="H2" i="2"/>
</calcChain>
</file>

<file path=xl/sharedStrings.xml><?xml version="1.0" encoding="utf-8"?>
<sst xmlns="http://schemas.openxmlformats.org/spreadsheetml/2006/main" count="22" uniqueCount="11">
  <si>
    <t>MTT combine</t>
    <phoneticPr fontId="3" type="noConversion"/>
  </si>
  <si>
    <t>CRE+RPE</t>
    <phoneticPr fontId="3" type="noConversion"/>
  </si>
  <si>
    <t>Concentration</t>
  </si>
  <si>
    <t>%</t>
    <phoneticPr fontId="3" type="noConversion"/>
  </si>
  <si>
    <t>CRE+RTE</t>
    <phoneticPr fontId="3" type="noConversion"/>
  </si>
  <si>
    <t>RPE+RTE</t>
    <phoneticPr fontId="3" type="noConversion"/>
  </si>
  <si>
    <t>RPE+RTE</t>
    <phoneticPr fontId="2" type="noConversion"/>
  </si>
  <si>
    <t>RPE+RTE</t>
  </si>
  <si>
    <t>Concentration</t>
    <phoneticPr fontId="2" type="noConversion"/>
  </si>
  <si>
    <t>CRE+RPE</t>
    <phoneticPr fontId="2" type="noConversion"/>
  </si>
  <si>
    <t>CRE+RTE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</si>
</sst>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新細明體"/>
      <family val="2"/>
      <scheme val="minor"/>
    </font>
    <font>
      <sz val="12"/>
      <color theme="1"/>
      <name val="Times New Roman"/>
      <family val="1"/>
    </font>
    <font>
      <sz val="9"/>
      <name val="新細明體"/>
      <family val="3"/>
      <charset val="136"/>
      <scheme val="minor"/>
    </font>
    <font>
      <sz val="9"/>
      <name val="新細明體"/>
      <family val="2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0" fontId="1" fillId="2" borderId="3" xfId="0" applyFont="1" applyFill="1" applyBorder="1" applyAlignment="1">
      <alignment horizontal="left" vertical="center"/>
    </xf>
    <xf numFmtId="0" fontId="1" fillId="2" borderId="4" xfId="0" applyFont="1" applyFill="1" applyBorder="1" applyAlignment="1">
      <alignment horizontal="left" vertical="center"/>
    </xf>
    <xf numFmtId="0" fontId="1" fillId="2" borderId="5" xfId="0" applyFont="1" applyFill="1" applyBorder="1" applyAlignment="1">
      <alignment horizontal="left" vertical="center"/>
    </xf>
    <xf numFmtId="0" fontId="1" fillId="2" borderId="6" xfId="0" applyFont="1" applyFill="1" applyBorder="1" applyAlignment="1">
      <alignment horizontal="left" vertical="center"/>
    </xf>
    <xf numFmtId="0" fontId="1" fillId="2" borderId="7" xfId="0" applyFont="1" applyFill="1" applyBorder="1" applyAlignment="1">
      <alignment horizontal="left" vertical="center"/>
    </xf>
    <xf numFmtId="0" fontId="1" fillId="2" borderId="0" xfId="0" applyFont="1" applyFill="1" applyAlignment="1">
      <alignment horizontal="left" vertical="center"/>
    </xf>
    <xf numFmtId="0" fontId="1" fillId="2" borderId="8" xfId="0" applyFont="1" applyFill="1" applyBorder="1" applyAlignment="1">
      <alignment horizontal="left" vertical="center"/>
    </xf>
    <xf numFmtId="0" fontId="1" fillId="2" borderId="0" xfId="0" applyFont="1" applyFill="1" applyAlignment="1">
      <alignment horizontal="left"/>
    </xf>
    <xf numFmtId="0" fontId="1" fillId="2" borderId="8" xfId="0" applyFont="1" applyFill="1" applyBorder="1" applyAlignment="1">
      <alignment horizontal="left"/>
    </xf>
    <xf numFmtId="0" fontId="1" fillId="2" borderId="9" xfId="0" applyFont="1" applyFill="1" applyBorder="1" applyAlignment="1">
      <alignment horizontal="left" vertical="center"/>
    </xf>
    <xf numFmtId="0" fontId="1" fillId="2" borderId="10" xfId="0" applyFont="1" applyFill="1" applyBorder="1" applyAlignment="1">
      <alignment horizontal="left"/>
    </xf>
    <xf numFmtId="0" fontId="1" fillId="2" borderId="11" xfId="0" applyFont="1" applyFill="1" applyBorder="1" applyAlignment="1">
      <alignment horizontal="left"/>
    </xf>
    <xf numFmtId="0" fontId="1" fillId="2" borderId="12" xfId="0" applyFont="1" applyFill="1" applyBorder="1" applyAlignment="1">
      <alignment horizontal="left" vertical="center"/>
    </xf>
    <xf numFmtId="0" fontId="1" fillId="2" borderId="13" xfId="0" applyFont="1" applyFill="1" applyBorder="1" applyAlignment="1">
      <alignment horizontal="left"/>
    </xf>
    <xf numFmtId="0" fontId="1" fillId="2" borderId="14" xfId="0" applyFont="1" applyFill="1" applyBorder="1" applyAlignment="1">
      <alignment horizontal="left"/>
    </xf>
    <xf numFmtId="0" fontId="1" fillId="2" borderId="0" xfId="0" applyFont="1" applyFill="1" applyAlignment="1">
      <alignment horizontal="left" vertical="center"/>
    </xf>
    <xf numFmtId="0" fontId="1" fillId="2" borderId="8" xfId="0" applyFont="1" applyFill="1" applyBorder="1" applyAlignment="1">
      <alignment horizontal="left"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E28"/>
  <sheetViews>
    <sheetView tabSelected="1" workbookViewId="0">
      <selection activeCell="B23" sqref="B23:B28"/>
    </sheetView>
  </sheetViews>
  <sheetFormatPr defaultRowHeight="15" x14ac:dyDescent="0.45"/>
  <sheetData>
    <row r="1" spans="2:5" ht="15.4" thickBot="1" x14ac:dyDescent="0.5"/>
    <row r="2" spans="2:5" ht="15.4" x14ac:dyDescent="0.45">
      <c r="B2" s="1" t="s">
        <v>0</v>
      </c>
      <c r="C2" s="2"/>
      <c r="D2" s="2"/>
      <c r="E2" s="3"/>
    </row>
    <row r="3" spans="2:5" ht="15.4" x14ac:dyDescent="0.45">
      <c r="B3" s="4" t="s">
        <v>1</v>
      </c>
      <c r="C3" s="5"/>
      <c r="D3" s="5"/>
      <c r="E3" s="6"/>
    </row>
    <row r="4" spans="2:5" ht="15.4" x14ac:dyDescent="0.45">
      <c r="B4" s="7" t="s">
        <v>2</v>
      </c>
      <c r="C4" s="18" t="s">
        <v>3</v>
      </c>
      <c r="D4" s="18"/>
      <c r="E4" s="19"/>
    </row>
    <row r="5" spans="2:5" ht="15.4" x14ac:dyDescent="0.45">
      <c r="B5" s="7">
        <v>0</v>
      </c>
      <c r="C5" s="10">
        <v>100</v>
      </c>
      <c r="D5" s="10">
        <v>100</v>
      </c>
      <c r="E5" s="11">
        <v>100</v>
      </c>
    </row>
    <row r="6" spans="2:5" ht="15.4" x14ac:dyDescent="0.45">
      <c r="B6" s="7">
        <v>2.5</v>
      </c>
      <c r="C6" s="10">
        <v>99.23639834552975</v>
      </c>
      <c r="D6" s="10">
        <v>85.262065386611297</v>
      </c>
      <c r="E6" s="11">
        <v>73.616607651183784</v>
      </c>
    </row>
    <row r="7" spans="2:5" ht="15.4" x14ac:dyDescent="0.45">
      <c r="B7" s="7">
        <v>5</v>
      </c>
      <c r="C7" s="10">
        <v>88.768692332166736</v>
      </c>
      <c r="D7" s="10">
        <v>90.273556231003056</v>
      </c>
      <c r="E7" s="11">
        <v>71.505936263278485</v>
      </c>
    </row>
    <row r="8" spans="2:5" ht="15.4" x14ac:dyDescent="0.45">
      <c r="B8" s="7">
        <v>10</v>
      </c>
      <c r="C8" s="10">
        <v>79.89182309895007</v>
      </c>
      <c r="D8" s="10">
        <v>86.329601897842679</v>
      </c>
      <c r="E8" s="11">
        <v>75.06075123238216</v>
      </c>
    </row>
    <row r="9" spans="2:5" ht="15.4" x14ac:dyDescent="0.45">
      <c r="B9" s="7">
        <v>20</v>
      </c>
      <c r="C9" s="10">
        <v>71.142220808145098</v>
      </c>
      <c r="D9" s="10">
        <v>61.924531099414338</v>
      </c>
      <c r="E9" s="11">
        <v>53.370825522460606</v>
      </c>
    </row>
    <row r="10" spans="2:5" ht="15.4" x14ac:dyDescent="0.45">
      <c r="B10" s="12">
        <v>40</v>
      </c>
      <c r="C10" s="13">
        <v>46.388800509067771</v>
      </c>
      <c r="D10" s="13">
        <v>39.713840907406031</v>
      </c>
      <c r="E10" s="14">
        <v>33.985975144067211</v>
      </c>
    </row>
    <row r="11" spans="2:5" ht="15.4" x14ac:dyDescent="0.45">
      <c r="B11" s="7"/>
      <c r="C11" s="8"/>
      <c r="D11" s="8"/>
      <c r="E11" s="9"/>
    </row>
    <row r="12" spans="2:5" ht="15.4" x14ac:dyDescent="0.45">
      <c r="B12" s="4" t="s">
        <v>4</v>
      </c>
      <c r="C12" s="5"/>
      <c r="D12" s="5"/>
      <c r="E12" s="6"/>
    </row>
    <row r="13" spans="2:5" ht="15.4" x14ac:dyDescent="0.45">
      <c r="B13" s="7" t="s">
        <v>2</v>
      </c>
      <c r="C13" s="18" t="s">
        <v>3</v>
      </c>
      <c r="D13" s="18"/>
      <c r="E13" s="19"/>
    </row>
    <row r="14" spans="2:5" ht="15.4" x14ac:dyDescent="0.45">
      <c r="B14" s="7">
        <v>0</v>
      </c>
      <c r="C14" s="10">
        <v>100</v>
      </c>
      <c r="D14" s="10">
        <v>100</v>
      </c>
      <c r="E14" s="11">
        <v>100</v>
      </c>
    </row>
    <row r="15" spans="2:5" ht="15.4" x14ac:dyDescent="0.45">
      <c r="B15" s="7">
        <v>2.5</v>
      </c>
      <c r="C15" s="10">
        <v>90.566556655665536</v>
      </c>
      <c r="D15" s="10">
        <v>83.14232902033271</v>
      </c>
      <c r="E15" s="11">
        <v>97.175275728001282</v>
      </c>
    </row>
    <row r="16" spans="2:5" ht="15.4" x14ac:dyDescent="0.45">
      <c r="B16" s="7">
        <v>5</v>
      </c>
      <c r="C16" s="10">
        <v>92.904290429042916</v>
      </c>
      <c r="D16" s="10">
        <v>91.659889094269886</v>
      </c>
      <c r="E16" s="11">
        <v>89.081964611600412</v>
      </c>
    </row>
    <row r="17" spans="2:5" ht="15.4" x14ac:dyDescent="0.45">
      <c r="B17" s="7">
        <v>10</v>
      </c>
      <c r="C17" s="10">
        <v>79.180418041804174</v>
      </c>
      <c r="D17" s="10">
        <v>90.802218114602596</v>
      </c>
      <c r="E17" s="11">
        <v>85.717686265174976</v>
      </c>
    </row>
    <row r="18" spans="2:5" ht="15.4" x14ac:dyDescent="0.45">
      <c r="B18" s="7">
        <v>20</v>
      </c>
      <c r="C18" s="10">
        <v>76.04510451045104</v>
      </c>
      <c r="D18" s="10">
        <v>73.589648798521253</v>
      </c>
      <c r="E18" s="11">
        <v>70.419741331429037</v>
      </c>
    </row>
    <row r="19" spans="2:5" ht="15.4" x14ac:dyDescent="0.45">
      <c r="B19" s="12">
        <v>40</v>
      </c>
      <c r="C19" s="13">
        <v>56.820682068206828</v>
      </c>
      <c r="D19" s="13">
        <v>69.035120147874323</v>
      </c>
      <c r="E19" s="14">
        <v>55.058319447750549</v>
      </c>
    </row>
    <row r="20" spans="2:5" ht="15.4" x14ac:dyDescent="0.45">
      <c r="B20" s="7"/>
      <c r="C20" s="8"/>
      <c r="D20" s="8"/>
      <c r="E20" s="9"/>
    </row>
    <row r="21" spans="2:5" ht="15.4" x14ac:dyDescent="0.45">
      <c r="B21" s="4" t="s">
        <v>5</v>
      </c>
      <c r="C21" s="5"/>
      <c r="D21" s="5"/>
      <c r="E21" s="6"/>
    </row>
    <row r="22" spans="2:5" ht="15.4" x14ac:dyDescent="0.45">
      <c r="B22" s="7" t="s">
        <v>2</v>
      </c>
      <c r="C22" s="18" t="s">
        <v>3</v>
      </c>
      <c r="D22" s="18"/>
      <c r="E22" s="19"/>
    </row>
    <row r="23" spans="2:5" ht="15.4" x14ac:dyDescent="0.45">
      <c r="B23" s="7">
        <v>0</v>
      </c>
      <c r="C23" s="10">
        <v>100</v>
      </c>
      <c r="D23" s="10">
        <v>100</v>
      </c>
      <c r="E23" s="11">
        <v>100</v>
      </c>
    </row>
    <row r="24" spans="2:5" ht="15.4" x14ac:dyDescent="0.45">
      <c r="B24" s="7">
        <v>2.5</v>
      </c>
      <c r="C24" s="10">
        <v>84.635879218472454</v>
      </c>
      <c r="D24" s="10">
        <v>84.999655955411825</v>
      </c>
      <c r="E24" s="11">
        <v>107.43992975173624</v>
      </c>
    </row>
    <row r="25" spans="2:5" ht="15.4" x14ac:dyDescent="0.45">
      <c r="B25" s="7">
        <v>5</v>
      </c>
      <c r="C25" s="10">
        <v>96.210775606867955</v>
      </c>
      <c r="D25" s="10">
        <v>82.274822817037077</v>
      </c>
      <c r="E25" s="11">
        <v>109.51544663526782</v>
      </c>
    </row>
    <row r="26" spans="2:5" ht="15.4" x14ac:dyDescent="0.45">
      <c r="B26" s="7">
        <v>10</v>
      </c>
      <c r="C26" s="10">
        <v>89.431616341030178</v>
      </c>
      <c r="D26" s="10">
        <v>91.522741347278597</v>
      </c>
      <c r="E26" s="11">
        <v>86.110002394827163</v>
      </c>
    </row>
    <row r="27" spans="2:5" ht="15.4" x14ac:dyDescent="0.45">
      <c r="B27" s="7">
        <v>20</v>
      </c>
      <c r="C27" s="10">
        <v>72.202486678507995</v>
      </c>
      <c r="D27" s="10">
        <v>80.926168031376861</v>
      </c>
      <c r="E27" s="11">
        <v>86.876347090284966</v>
      </c>
    </row>
    <row r="28" spans="2:5" ht="15.75" thickBot="1" x14ac:dyDescent="0.5">
      <c r="B28" s="15">
        <v>40</v>
      </c>
      <c r="C28" s="16">
        <v>60.065127294256946</v>
      </c>
      <c r="D28" s="16">
        <v>50.953003509254792</v>
      </c>
      <c r="E28" s="17">
        <v>69.920970703280901</v>
      </c>
    </row>
  </sheetData>
  <mergeCells count="3">
    <mergeCell ref="C4:E4"/>
    <mergeCell ref="C13:E13"/>
    <mergeCell ref="C22:E22"/>
  </mergeCells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86B6C2-BED0-4198-BFCA-365E0047382A}">
  <dimension ref="A1:N23"/>
  <sheetViews>
    <sheetView workbookViewId="0">
      <selection activeCell="P15" sqref="P15"/>
    </sheetView>
  </sheetViews>
  <sheetFormatPr defaultRowHeight="15" x14ac:dyDescent="0.45"/>
  <sheetData>
    <row r="1" spans="1:14" x14ac:dyDescent="0.45">
      <c r="A1">
        <v>20200219</v>
      </c>
      <c r="B1" t="s">
        <v>9</v>
      </c>
      <c r="F1">
        <v>20200221</v>
      </c>
      <c r="G1" t="s">
        <v>9</v>
      </c>
      <c r="K1">
        <v>20200227</v>
      </c>
      <c r="L1" t="s">
        <v>9</v>
      </c>
    </row>
    <row r="2" spans="1:14" x14ac:dyDescent="0.45">
      <c r="A2">
        <v>0</v>
      </c>
      <c r="B2">
        <f t="shared" ref="B2:D2" ca="1" si="0">#REF!-$N$3</f>
        <v>1.0443333333333333</v>
      </c>
      <c r="C2">
        <f t="shared" ref="C2:D2" ca="1" si="1">#REF!-$N$3</f>
        <v>1.0573333333333332</v>
      </c>
      <c r="D2">
        <f t="shared" ref="D2" ca="1" si="2">#REF!-$N$3</f>
        <v>1.0413333333333332</v>
      </c>
      <c r="G2">
        <f t="shared" ref="G2:I7" ca="1" si="3">#REF!-$N$3</f>
        <v>1.1240833333333333</v>
      </c>
      <c r="H2">
        <f t="shared" ca="1" si="3"/>
        <v>1.1240833333333333</v>
      </c>
      <c r="I2">
        <f t="shared" ca="1" si="3"/>
        <v>1.1240833333333333</v>
      </c>
      <c r="L2">
        <f t="shared" ref="L2:N2" ca="1" si="4">#REF!-$N$3</f>
        <v>1.2072499999999999</v>
      </c>
      <c r="M2">
        <f t="shared" ref="M2:N2" ca="1" si="5">#REF!-$N$3</f>
        <v>1.19825</v>
      </c>
      <c r="N2">
        <f t="shared" ref="N2" ca="1" si="6">#REF!-$N$3</f>
        <v>1.1952499999999999</v>
      </c>
    </row>
    <row r="3" spans="1:14" x14ac:dyDescent="0.45">
      <c r="A3">
        <v>2.5</v>
      </c>
      <c r="B3">
        <f t="shared" ref="B3:D7" ca="1" si="7">#REF!-$N$3</f>
        <v>1.0293333333333332</v>
      </c>
      <c r="C3">
        <f t="shared" ref="C3:D7" ca="1" si="8">#REF!-$N$3</f>
        <v>1.0463333333333333</v>
      </c>
      <c r="D3">
        <f t="shared" ref="D3:D7" ca="1" si="9">#REF!-$N$3</f>
        <v>1.0433333333333332</v>
      </c>
      <c r="G3">
        <f t="shared" ca="1" si="3"/>
        <v>0.95908333333333329</v>
      </c>
      <c r="H3">
        <f t="shared" ca="1" si="3"/>
        <v>0.96608333333333318</v>
      </c>
      <c r="I3">
        <f t="shared" ca="1" si="3"/>
        <v>0.95008333333333317</v>
      </c>
      <c r="L3">
        <f t="shared" ref="L3:N7" ca="1" si="10">#REF!-$N$3</f>
        <v>0.88824999999999998</v>
      </c>
      <c r="M3">
        <f t="shared" ref="M3:N7" ca="1" si="11">#REF!-$N$3</f>
        <v>0.88424999999999998</v>
      </c>
      <c r="N3">
        <f t="shared" ref="N3:N7" ca="1" si="12">#REF!-$N$3</f>
        <v>0.87825000000000009</v>
      </c>
    </row>
    <row r="4" spans="1:14" x14ac:dyDescent="0.45">
      <c r="A4">
        <v>5</v>
      </c>
      <c r="B4">
        <f t="shared" ref="B4:D8" ca="1" si="13">#REF!-$N$3</f>
        <v>0.92833333333333334</v>
      </c>
      <c r="C4">
        <f t="shared" ref="C4:D8" ca="1" si="14">#REF!-$N$3</f>
        <v>0.92533333333333334</v>
      </c>
      <c r="D4">
        <f t="shared" ref="D4:D8" ca="1" si="15">#REF!-$N$3</f>
        <v>0.93633333333333335</v>
      </c>
      <c r="G4">
        <f t="shared" ca="1" si="3"/>
        <v>1.0120833333333332</v>
      </c>
      <c r="H4">
        <f t="shared" ca="1" si="3"/>
        <v>1.0190833333333333</v>
      </c>
      <c r="I4">
        <f t="shared" ca="1" si="3"/>
        <v>1.0130833333333333</v>
      </c>
      <c r="L4">
        <f t="shared" ref="L4:N8" ca="1" si="16">#REF!-$N$3</f>
        <v>0.85425000000000006</v>
      </c>
      <c r="M4">
        <f t="shared" ref="M4:N8" ca="1" si="17">#REF!-$N$3</f>
        <v>0.86525000000000007</v>
      </c>
      <c r="N4">
        <f t="shared" ref="N4:N8" ca="1" si="18">#REF!-$N$3</f>
        <v>0.85525000000000007</v>
      </c>
    </row>
    <row r="5" spans="1:14" x14ac:dyDescent="0.45">
      <c r="A5">
        <v>10</v>
      </c>
      <c r="B5">
        <f t="shared" ref="B5:D9" ca="1" si="19">#REF!-$N$3</f>
        <v>0.84133333333333338</v>
      </c>
      <c r="C5">
        <f t="shared" ref="C5:D9" ca="1" si="20">#REF!-$N$3</f>
        <v>0.84233333333333338</v>
      </c>
      <c r="D5">
        <f t="shared" ref="D5:D9" ca="1" si="21">#REF!-$N$3</f>
        <v>0.82733333333333337</v>
      </c>
      <c r="G5">
        <f t="shared" ca="1" si="3"/>
        <v>0.97808333333333319</v>
      </c>
      <c r="H5">
        <f t="shared" ca="1" si="3"/>
        <v>0.96608333333333318</v>
      </c>
      <c r="I5">
        <f t="shared" ca="1" si="3"/>
        <v>0.96708333333333329</v>
      </c>
      <c r="L5">
        <f t="shared" ref="L5:N9" ca="1" si="22">#REF!-$N$3</f>
        <v>0.89724999999999999</v>
      </c>
      <c r="M5">
        <f t="shared" ref="M5:N9" ca="1" si="23">#REF!-$N$3</f>
        <v>0.90225</v>
      </c>
      <c r="N5">
        <f t="shared" ref="N5:N9" ca="1" si="24">#REF!-$N$3</f>
        <v>0.90325</v>
      </c>
    </row>
    <row r="6" spans="1:14" x14ac:dyDescent="0.45">
      <c r="A6">
        <v>20</v>
      </c>
      <c r="B6">
        <f t="shared" ref="B6:D10" ca="1" si="25">#REF!-$N$3</f>
        <v>0.7423333333333334</v>
      </c>
      <c r="C6">
        <f t="shared" ref="C6:D10" ca="1" si="26">#REF!-$N$3</f>
        <v>0.7473333333333334</v>
      </c>
      <c r="D6">
        <f t="shared" ref="D6:D10" ca="1" si="27">#REF!-$N$3</f>
        <v>0.7463333333333334</v>
      </c>
      <c r="G6">
        <f t="shared" ca="1" si="3"/>
        <v>0.69208333333333327</v>
      </c>
      <c r="H6">
        <f t="shared" ca="1" si="3"/>
        <v>0.69608333333333328</v>
      </c>
      <c r="I6">
        <f t="shared" ca="1" si="3"/>
        <v>0.70008333333333328</v>
      </c>
      <c r="L6">
        <f t="shared" ref="L6:N10" ca="1" si="28">#REF!-$N$3</f>
        <v>0.64024999999999999</v>
      </c>
      <c r="M6">
        <f t="shared" ref="M6:N10" ca="1" si="29">#REF!-$N$3</f>
        <v>0.63824999999999998</v>
      </c>
      <c r="N6">
        <f t="shared" ref="N6:N10" ca="1" si="30">#REF!-$N$3</f>
        <v>0.64324999999999999</v>
      </c>
    </row>
    <row r="7" spans="1:14" x14ac:dyDescent="0.45">
      <c r="A7">
        <v>40</v>
      </c>
      <c r="B7">
        <f t="shared" ref="B7:D11" ca="1" si="31">#REF!-$N$3</f>
        <v>0.48233333333333334</v>
      </c>
      <c r="C7">
        <f t="shared" ref="C7:D11" ca="1" si="32">#REF!-$N$3</f>
        <v>0.49133333333333334</v>
      </c>
      <c r="D7">
        <f t="shared" ref="D7:D11" ca="1" si="33">#REF!-$N$3</f>
        <v>0.48433333333333334</v>
      </c>
      <c r="G7">
        <f t="shared" ca="1" si="3"/>
        <v>0.45908333333333334</v>
      </c>
      <c r="H7">
        <f t="shared" ca="1" si="3"/>
        <v>0.44008333333333333</v>
      </c>
      <c r="I7">
        <f t="shared" ca="1" si="3"/>
        <v>0.44008333333333333</v>
      </c>
      <c r="L7">
        <f t="shared" ref="L7:N11" ca="1" si="34">#REF!-$N$3</f>
        <v>0.39324999999999999</v>
      </c>
      <c r="M7">
        <f t="shared" ref="M7:N11" ca="1" si="35">#REF!-$N$3</f>
        <v>0.40925</v>
      </c>
      <c r="N7">
        <f t="shared" ref="N7:N11" ca="1" si="36">#REF!-$N$3</f>
        <v>0.42124999999999996</v>
      </c>
    </row>
    <row r="9" spans="1:14" x14ac:dyDescent="0.45">
      <c r="A9">
        <v>0</v>
      </c>
      <c r="B9">
        <f ca="1">AVERAGE(B2:D2)</f>
        <v>1.0476666666666665</v>
      </c>
      <c r="C9">
        <f ca="1">B9/$E$20*100</f>
        <v>100</v>
      </c>
      <c r="G9">
        <f ca="1">AVERAGE(G2:I2)</f>
        <v>1.1240833333333333</v>
      </c>
      <c r="H9">
        <f ca="1">G9/$E$20*100</f>
        <v>100</v>
      </c>
      <c r="L9">
        <f ca="1">AVERAGE(L2:N2)</f>
        <v>1.2002499999999998</v>
      </c>
      <c r="M9">
        <f ca="1">L9/$E$20*100</f>
        <v>100</v>
      </c>
    </row>
    <row r="10" spans="1:14" x14ac:dyDescent="0.45">
      <c r="A10">
        <v>2.5</v>
      </c>
      <c r="B10">
        <f t="shared" ref="B10:B14" ca="1" si="37">AVERAGE(B3:D3)</f>
        <v>1.0396666666666665</v>
      </c>
      <c r="C10">
        <f t="shared" ref="C10:C14" ca="1" si="38">B10/$E$20*100</f>
        <v>99.23639834552975</v>
      </c>
      <c r="G10">
        <f t="shared" ref="G10:G14" ca="1" si="39">AVERAGE(G3:I3)</f>
        <v>0.95841666666666647</v>
      </c>
      <c r="H10">
        <f t="shared" ref="H10:H14" ca="1" si="40">G10/$E$20*100</f>
        <v>85.262065386611297</v>
      </c>
      <c r="L10">
        <f t="shared" ref="L10:L14" ca="1" si="41">AVERAGE(L3:N3)</f>
        <v>0.88358333333333328</v>
      </c>
      <c r="M10">
        <f t="shared" ref="M10:M14" ca="1" si="42">L10/$E$20*100</f>
        <v>73.616607651183784</v>
      </c>
    </row>
    <row r="11" spans="1:14" x14ac:dyDescent="0.45">
      <c r="A11">
        <v>5</v>
      </c>
      <c r="B11">
        <f t="shared" ca="1" si="37"/>
        <v>0.93</v>
      </c>
      <c r="C11">
        <f t="shared" ca="1" si="38"/>
        <v>88.768692332166736</v>
      </c>
      <c r="G11">
        <f t="shared" ca="1" si="39"/>
        <v>1.01475</v>
      </c>
      <c r="H11">
        <f t="shared" ca="1" si="40"/>
        <v>90.273556231003056</v>
      </c>
      <c r="L11">
        <f t="shared" ca="1" si="41"/>
        <v>0.85824999999999996</v>
      </c>
      <c r="M11">
        <f t="shared" ca="1" si="42"/>
        <v>71.505936263278485</v>
      </c>
    </row>
    <row r="12" spans="1:14" x14ac:dyDescent="0.45">
      <c r="A12">
        <v>10</v>
      </c>
      <c r="B12">
        <f t="shared" ca="1" si="37"/>
        <v>0.83700000000000008</v>
      </c>
      <c r="C12">
        <f t="shared" ca="1" si="38"/>
        <v>79.89182309895007</v>
      </c>
      <c r="G12">
        <f t="shared" ca="1" si="39"/>
        <v>0.97041666666666659</v>
      </c>
      <c r="H12">
        <f t="shared" ca="1" si="40"/>
        <v>86.329601897842679</v>
      </c>
      <c r="L12">
        <f t="shared" ca="1" si="41"/>
        <v>0.9009166666666667</v>
      </c>
      <c r="M12">
        <f t="shared" ca="1" si="42"/>
        <v>75.06075123238216</v>
      </c>
    </row>
    <row r="13" spans="1:14" x14ac:dyDescent="0.45">
      <c r="A13">
        <v>20</v>
      </c>
      <c r="B13">
        <f t="shared" ca="1" si="37"/>
        <v>0.7453333333333334</v>
      </c>
      <c r="C13">
        <f t="shared" ca="1" si="38"/>
        <v>71.142220808145098</v>
      </c>
      <c r="G13">
        <f t="shared" ca="1" si="39"/>
        <v>0.69608333333333328</v>
      </c>
      <c r="H13">
        <f t="shared" ca="1" si="40"/>
        <v>61.924531099414338</v>
      </c>
      <c r="L13">
        <f t="shared" ca="1" si="41"/>
        <v>0.64058333333333328</v>
      </c>
      <c r="M13">
        <f t="shared" ca="1" si="42"/>
        <v>53.370825522460606</v>
      </c>
    </row>
    <row r="14" spans="1:14" x14ac:dyDescent="0.45">
      <c r="A14">
        <v>40</v>
      </c>
      <c r="B14">
        <f t="shared" ca="1" si="37"/>
        <v>0.48599999999999999</v>
      </c>
      <c r="C14">
        <f t="shared" ca="1" si="38"/>
        <v>46.388800509067771</v>
      </c>
      <c r="G14">
        <f t="shared" ca="1" si="39"/>
        <v>0.44641666666666668</v>
      </c>
      <c r="H14">
        <f t="shared" ca="1" si="40"/>
        <v>39.713840907406031</v>
      </c>
      <c r="L14">
        <f t="shared" ca="1" si="41"/>
        <v>0.40791666666666665</v>
      </c>
      <c r="M14">
        <f t="shared" ca="1" si="42"/>
        <v>33.985975144067211</v>
      </c>
    </row>
    <row r="16" spans="1:14" x14ac:dyDescent="0.45">
      <c r="A16">
        <v>0</v>
      </c>
      <c r="B16">
        <v>100</v>
      </c>
      <c r="G16">
        <v>100</v>
      </c>
      <c r="L16">
        <v>100</v>
      </c>
    </row>
    <row r="17" spans="1:12" x14ac:dyDescent="0.45">
      <c r="A17">
        <v>2.5</v>
      </c>
      <c r="B17">
        <v>99.23639834552975</v>
      </c>
      <c r="G17">
        <v>85.262065386611297</v>
      </c>
      <c r="L17">
        <v>73.616607651183784</v>
      </c>
    </row>
    <row r="18" spans="1:12" x14ac:dyDescent="0.45">
      <c r="A18">
        <v>5</v>
      </c>
      <c r="B18">
        <v>88.768692332166736</v>
      </c>
      <c r="G18">
        <v>90.273556231003056</v>
      </c>
      <c r="L18">
        <v>71.505936263278485</v>
      </c>
    </row>
    <row r="19" spans="1:12" x14ac:dyDescent="0.45">
      <c r="A19">
        <v>10</v>
      </c>
      <c r="B19">
        <v>79.89182309895007</v>
      </c>
      <c r="G19">
        <v>86.329601897842679</v>
      </c>
      <c r="L19">
        <v>75.06075123238216</v>
      </c>
    </row>
    <row r="20" spans="1:12" x14ac:dyDescent="0.45">
      <c r="A20">
        <v>20</v>
      </c>
      <c r="B20">
        <v>71.142220808145098</v>
      </c>
      <c r="G20">
        <v>61.924531099414338</v>
      </c>
      <c r="L20">
        <v>53.370825522460606</v>
      </c>
    </row>
    <row r="21" spans="1:12" x14ac:dyDescent="0.45">
      <c r="A21">
        <v>40</v>
      </c>
      <c r="B21">
        <v>46.388800509067771</v>
      </c>
      <c r="G21">
        <v>39.713840907406031</v>
      </c>
      <c r="L21">
        <v>33.985975144067211</v>
      </c>
    </row>
    <row r="23" spans="1:12" x14ac:dyDescent="0.45">
      <c r="A23" t="s">
        <v>8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811F3A-0F9E-47AA-B0EB-261042DFC472}">
  <dimension ref="A1:N23"/>
  <sheetViews>
    <sheetView workbookViewId="0">
      <selection activeCell="L1" sqref="L1:N21"/>
    </sheetView>
  </sheetViews>
  <sheetFormatPr defaultRowHeight="15" x14ac:dyDescent="0.45"/>
  <sheetData>
    <row r="1" spans="1:14" x14ac:dyDescent="0.45">
      <c r="A1">
        <v>20200219</v>
      </c>
      <c r="B1" t="s">
        <v>10</v>
      </c>
      <c r="F1">
        <v>20200221</v>
      </c>
      <c r="G1" t="s">
        <v>10</v>
      </c>
      <c r="K1">
        <v>20200227</v>
      </c>
      <c r="L1" t="s">
        <v>10</v>
      </c>
    </row>
    <row r="2" spans="1:14" x14ac:dyDescent="0.45">
      <c r="A2">
        <v>0</v>
      </c>
      <c r="B2">
        <f t="shared" ref="B2:D2" ca="1" si="0">#REF!-$N$3</f>
        <v>1.2103333333333333</v>
      </c>
      <c r="C2">
        <f t="shared" ref="C2:D2" ca="1" si="1">#REF!-$N$3</f>
        <v>1.2143333333333333</v>
      </c>
      <c r="D2">
        <f t="shared" ref="D2" ca="1" si="2">#REF!-$N$3</f>
        <v>1.2113333333333332</v>
      </c>
      <c r="G2">
        <f t="shared" ref="G2:I2" ca="1" si="3">#REF!-$N$3</f>
        <v>1.1430833333333332</v>
      </c>
      <c r="H2">
        <f t="shared" ref="H2:I2" ca="1" si="4">#REF!-$N$3</f>
        <v>1.1260833333333333</v>
      </c>
      <c r="I2">
        <f t="shared" ref="I2" ca="1" si="5">#REF!-$N$3</f>
        <v>1.1120833333333333</v>
      </c>
      <c r="L2">
        <f t="shared" ref="L2:N2" ca="1" si="6">#REF!-$N$3</f>
        <v>1.04925</v>
      </c>
      <c r="M2">
        <f t="shared" ref="M2:N2" ca="1" si="7">#REF!-$N$3</f>
        <v>1.05525</v>
      </c>
      <c r="N2">
        <f t="shared" ref="N2" ca="1" si="8">#REF!-$N$3</f>
        <v>1.0462500000000001</v>
      </c>
    </row>
    <row r="3" spans="1:14" x14ac:dyDescent="0.45">
      <c r="A3">
        <v>2.5</v>
      </c>
      <c r="B3">
        <f t="shared" ref="B3:D7" ca="1" si="9">#REF!-$N$3</f>
        <v>1.0953333333333333</v>
      </c>
      <c r="C3">
        <f t="shared" ref="C3:D7" ca="1" si="10">#REF!-$N$3</f>
        <v>1.1013333333333333</v>
      </c>
      <c r="D3">
        <f t="shared" ref="D3:D7" ca="1" si="11">#REF!-$N$3</f>
        <v>1.0963333333333332</v>
      </c>
      <c r="G3">
        <f t="shared" ref="G3:I7" ca="1" si="12">#REF!-$N$3</f>
        <v>0.94608333333333317</v>
      </c>
      <c r="H3">
        <f t="shared" ref="H3:I7" ca="1" si="13">#REF!-$N$3</f>
        <v>0.92808333333333326</v>
      </c>
      <c r="I3">
        <f t="shared" ref="I3:I7" ca="1" si="14">#REF!-$N$3</f>
        <v>0.93708333333333327</v>
      </c>
      <c r="L3">
        <f t="shared" ref="L3:N7" ca="1" si="15">#REF!-$N$3</f>
        <v>1.01925</v>
      </c>
      <c r="M3">
        <f t="shared" ref="M3:N7" ca="1" si="16">#REF!-$N$3</f>
        <v>1.01525</v>
      </c>
      <c r="N3">
        <f t="shared" ref="N3:N7" ca="1" si="17">#REF!-$N$3</f>
        <v>1.02725</v>
      </c>
    </row>
    <row r="4" spans="1:14" x14ac:dyDescent="0.45">
      <c r="A4">
        <v>5</v>
      </c>
      <c r="B4">
        <f t="shared" ref="B4:D8" ca="1" si="18">#REF!-$N$3</f>
        <v>1.1273333333333333</v>
      </c>
      <c r="C4">
        <f t="shared" ref="C4:D8" ca="1" si="19">#REF!-$N$3</f>
        <v>1.1213333333333333</v>
      </c>
      <c r="D4">
        <f t="shared" ref="D4:D8" ca="1" si="20">#REF!-$N$3</f>
        <v>1.1293333333333333</v>
      </c>
      <c r="G4">
        <f t="shared" ref="G4:I8" ca="1" si="21">#REF!-$N$3</f>
        <v>1.0330833333333334</v>
      </c>
      <c r="H4">
        <f t="shared" ref="H4:I8" ca="1" si="22">#REF!-$N$3</f>
        <v>1.0330833333333334</v>
      </c>
      <c r="I4">
        <f t="shared" ref="I4:I8" ca="1" si="23">#REF!-$N$3</f>
        <v>1.0330833333333334</v>
      </c>
      <c r="L4">
        <f t="shared" ref="L4:N8" ca="1" si="24">#REF!-$N$3</f>
        <v>0.94025000000000003</v>
      </c>
      <c r="M4">
        <f t="shared" ref="M4:N8" ca="1" si="25">#REF!-$N$3</f>
        <v>0.93525000000000003</v>
      </c>
      <c r="N4">
        <f t="shared" ref="N4:N8" ca="1" si="26">#REF!-$N$3</f>
        <v>0.93125000000000002</v>
      </c>
    </row>
    <row r="5" spans="1:14" x14ac:dyDescent="0.45">
      <c r="A5">
        <v>10</v>
      </c>
      <c r="B5">
        <f t="shared" ref="B5:D9" ca="1" si="27">#REF!-$N$3</f>
        <v>0.95233333333333337</v>
      </c>
      <c r="C5">
        <f t="shared" ref="C5:D9" ca="1" si="28">#REF!-$N$3</f>
        <v>0.96433333333333338</v>
      </c>
      <c r="D5">
        <f t="shared" ref="D5:D9" ca="1" si="29">#REF!-$N$3</f>
        <v>0.96233333333333337</v>
      </c>
      <c r="G5">
        <f t="shared" ref="G5:I9" ca="1" si="30">#REF!-$N$3</f>
        <v>1.0210833333333333</v>
      </c>
      <c r="H5">
        <f t="shared" ref="H5:I9" ca="1" si="31">#REF!-$N$3</f>
        <v>1.0180833333333332</v>
      </c>
      <c r="I5">
        <f t="shared" ref="I5:I9" ca="1" si="32">#REF!-$N$3</f>
        <v>1.0310833333333334</v>
      </c>
      <c r="L5">
        <f t="shared" ref="L5:N9" ca="1" si="33">#REF!-$N$3</f>
        <v>0.90225</v>
      </c>
      <c r="M5">
        <f t="shared" ref="M5:N9" ca="1" si="34">#REF!-$N$3</f>
        <v>0.90125</v>
      </c>
      <c r="N5">
        <f t="shared" ref="N5:N9" ca="1" si="35">#REF!-$N$3</f>
        <v>0.89724999999999999</v>
      </c>
    </row>
    <row r="6" spans="1:14" x14ac:dyDescent="0.45">
      <c r="A6">
        <v>20</v>
      </c>
      <c r="B6">
        <f t="shared" ref="B6:D10" ca="1" si="36">#REF!-$N$3</f>
        <v>0.92533333333333334</v>
      </c>
      <c r="C6">
        <f t="shared" ref="C6:D10" ca="1" si="37">#REF!-$N$3</f>
        <v>0.91833333333333333</v>
      </c>
      <c r="D6">
        <f t="shared" ref="D6:D10" ca="1" si="38">#REF!-$N$3</f>
        <v>0.92133333333333334</v>
      </c>
      <c r="G6">
        <f t="shared" ref="G6:I10" ca="1" si="39">#REF!-$N$3</f>
        <v>0.81808333333333327</v>
      </c>
      <c r="H6">
        <f t="shared" ref="H6:I10" ca="1" si="40">#REF!-$N$3</f>
        <v>0.84208333333333329</v>
      </c>
      <c r="I6">
        <f t="shared" ref="I6:I10" ca="1" si="41">#REF!-$N$3</f>
        <v>0.82808333333333328</v>
      </c>
      <c r="L6">
        <f t="shared" ref="L6:N10" ca="1" si="42">#REF!-$N$3</f>
        <v>0.73325000000000007</v>
      </c>
      <c r="M6">
        <f t="shared" ref="M6:N10" ca="1" si="43">#REF!-$N$3</f>
        <v>0.75125000000000008</v>
      </c>
      <c r="N6">
        <f t="shared" ref="N6:N10" ca="1" si="44">#REF!-$N$3</f>
        <v>0.73425000000000007</v>
      </c>
    </row>
    <row r="7" spans="1:14" x14ac:dyDescent="0.45">
      <c r="A7">
        <v>40</v>
      </c>
      <c r="B7">
        <f t="shared" ref="B7:D11" ca="1" si="45">#REF!-$N$3</f>
        <v>0.69033333333333335</v>
      </c>
      <c r="C7">
        <f t="shared" ref="C7:D11" ca="1" si="46">#REF!-$N$3</f>
        <v>0.68733333333333335</v>
      </c>
      <c r="D7">
        <f t="shared" ref="D7:D11" ca="1" si="47">#REF!-$N$3</f>
        <v>0.68833333333333335</v>
      </c>
      <c r="G7">
        <f t="shared" ref="G7:I11" ca="1" si="48">#REF!-$N$3</f>
        <v>0.78608333333333325</v>
      </c>
      <c r="H7">
        <f t="shared" ref="H7:I11" ca="1" si="49">#REF!-$N$3</f>
        <v>0.77808333333333324</v>
      </c>
      <c r="I7">
        <f t="shared" ref="I7:I11" ca="1" si="50">#REF!-$N$3</f>
        <v>0.77008333333333323</v>
      </c>
      <c r="L7">
        <f t="shared" ref="L7:N11" ca="1" si="51">#REF!-$N$3</f>
        <v>0.57825000000000004</v>
      </c>
      <c r="M7">
        <f t="shared" ref="M7:N11" ca="1" si="52">#REF!-$N$3</f>
        <v>0.57925000000000004</v>
      </c>
      <c r="N7">
        <f t="shared" ref="N7:N11" ca="1" si="53">#REF!-$N$3</f>
        <v>0.57725000000000004</v>
      </c>
    </row>
    <row r="9" spans="1:14" x14ac:dyDescent="0.45">
      <c r="A9">
        <v>0</v>
      </c>
      <c r="B9">
        <f ca="1">AVERAGE(B2:D2)</f>
        <v>1.212</v>
      </c>
      <c r="C9">
        <f ca="1">B9/$H$20*100</f>
        <v>100</v>
      </c>
      <c r="G9">
        <f ca="1">AVERAGE(G2:I2)</f>
        <v>1.1270833333333332</v>
      </c>
      <c r="H9">
        <f ca="1">G9/$H$20*100</f>
        <v>100</v>
      </c>
      <c r="L9">
        <f ca="1">AVERAGE(L2:N2)</f>
        <v>1.0502499999999999</v>
      </c>
      <c r="M9">
        <f ca="1">L9/$H$20*100</f>
        <v>100</v>
      </c>
    </row>
    <row r="10" spans="1:14" x14ac:dyDescent="0.45">
      <c r="A10">
        <v>2.5</v>
      </c>
      <c r="B10">
        <f t="shared" ref="B10:B14" ca="1" si="54">AVERAGE(B3:D3)</f>
        <v>1.0976666666666663</v>
      </c>
      <c r="C10">
        <f t="shared" ref="C10:C14" ca="1" si="55">B10/$H$20*100</f>
        <v>90.566556655665536</v>
      </c>
      <c r="G10">
        <f t="shared" ref="G10:G14" ca="1" si="56">AVERAGE(G3:I3)</f>
        <v>0.93708333333333327</v>
      </c>
      <c r="H10">
        <f t="shared" ref="H10:H14" ca="1" si="57">G10/$H$20*100</f>
        <v>83.14232902033271</v>
      </c>
      <c r="L10">
        <f t="shared" ref="L10:L14" ca="1" si="58">AVERAGE(L3:N3)</f>
        <v>1.0205833333333334</v>
      </c>
      <c r="M10">
        <f t="shared" ref="M10:M14" ca="1" si="59">L10/$H$20*100</f>
        <v>97.175275728001282</v>
      </c>
    </row>
    <row r="11" spans="1:14" x14ac:dyDescent="0.45">
      <c r="A11">
        <v>5</v>
      </c>
      <c r="B11">
        <f t="shared" ca="1" si="54"/>
        <v>1.1260000000000001</v>
      </c>
      <c r="C11">
        <f t="shared" ca="1" si="55"/>
        <v>92.904290429042916</v>
      </c>
      <c r="G11">
        <f t="shared" ca="1" si="56"/>
        <v>1.0330833333333334</v>
      </c>
      <c r="H11">
        <f t="shared" ca="1" si="57"/>
        <v>91.659889094269886</v>
      </c>
      <c r="L11">
        <f t="shared" ca="1" si="58"/>
        <v>0.93558333333333332</v>
      </c>
      <c r="M11">
        <f t="shared" ca="1" si="59"/>
        <v>89.081964611600412</v>
      </c>
    </row>
    <row r="12" spans="1:14" x14ac:dyDescent="0.45">
      <c r="A12">
        <v>10</v>
      </c>
      <c r="B12">
        <f t="shared" ca="1" si="54"/>
        <v>0.95966666666666667</v>
      </c>
      <c r="C12">
        <f t="shared" ca="1" si="55"/>
        <v>79.180418041804174</v>
      </c>
      <c r="G12">
        <f t="shared" ca="1" si="56"/>
        <v>1.0234166666666666</v>
      </c>
      <c r="H12">
        <f t="shared" ca="1" si="57"/>
        <v>90.802218114602596</v>
      </c>
      <c r="L12">
        <f t="shared" ca="1" si="58"/>
        <v>0.90025000000000011</v>
      </c>
      <c r="M12">
        <f t="shared" ca="1" si="59"/>
        <v>85.717686265174976</v>
      </c>
    </row>
    <row r="13" spans="1:14" x14ac:dyDescent="0.45">
      <c r="A13">
        <v>20</v>
      </c>
      <c r="B13">
        <f t="shared" ca="1" si="54"/>
        <v>0.92166666666666652</v>
      </c>
      <c r="C13">
        <f t="shared" ca="1" si="55"/>
        <v>76.04510451045104</v>
      </c>
      <c r="G13">
        <f t="shared" ca="1" si="56"/>
        <v>0.82941666666666658</v>
      </c>
      <c r="H13">
        <f t="shared" ca="1" si="57"/>
        <v>73.589648798521253</v>
      </c>
      <c r="L13">
        <f t="shared" ca="1" si="58"/>
        <v>0.73958333333333337</v>
      </c>
      <c r="M13">
        <f t="shared" ca="1" si="59"/>
        <v>70.419741331429037</v>
      </c>
    </row>
    <row r="14" spans="1:14" x14ac:dyDescent="0.45">
      <c r="A14">
        <v>40</v>
      </c>
      <c r="B14">
        <f t="shared" ca="1" si="54"/>
        <v>0.68866666666666676</v>
      </c>
      <c r="C14">
        <f t="shared" ca="1" si="55"/>
        <v>56.820682068206828</v>
      </c>
      <c r="G14">
        <f t="shared" ca="1" si="56"/>
        <v>0.77808333333333335</v>
      </c>
      <c r="H14">
        <f t="shared" ca="1" si="57"/>
        <v>69.035120147874323</v>
      </c>
      <c r="L14">
        <f t="shared" ca="1" si="58"/>
        <v>0.57825000000000004</v>
      </c>
      <c r="M14">
        <f t="shared" ca="1" si="59"/>
        <v>55.058319447750549</v>
      </c>
    </row>
    <row r="16" spans="1:14" x14ac:dyDescent="0.45">
      <c r="A16">
        <v>0</v>
      </c>
      <c r="B16">
        <v>100</v>
      </c>
      <c r="G16">
        <v>100</v>
      </c>
      <c r="L16">
        <v>100</v>
      </c>
    </row>
    <row r="17" spans="1:12" x14ac:dyDescent="0.45">
      <c r="A17">
        <v>2.5</v>
      </c>
      <c r="B17">
        <v>90.566556655665536</v>
      </c>
      <c r="G17">
        <v>83.14232902033271</v>
      </c>
      <c r="L17">
        <v>97.175275728001282</v>
      </c>
    </row>
    <row r="18" spans="1:12" x14ac:dyDescent="0.45">
      <c r="A18">
        <v>5</v>
      </c>
      <c r="B18">
        <v>92.904290429042916</v>
      </c>
      <c r="G18">
        <v>91.659889094269886</v>
      </c>
      <c r="L18">
        <v>89.081964611600412</v>
      </c>
    </row>
    <row r="19" spans="1:12" x14ac:dyDescent="0.45">
      <c r="A19">
        <v>10</v>
      </c>
      <c r="B19">
        <v>79.180418041804174</v>
      </c>
      <c r="G19">
        <v>90.802218114602596</v>
      </c>
      <c r="L19">
        <v>85.717686265174976</v>
      </c>
    </row>
    <row r="20" spans="1:12" x14ac:dyDescent="0.45">
      <c r="A20">
        <v>20</v>
      </c>
      <c r="B20">
        <v>76.04510451045104</v>
      </c>
      <c r="G20">
        <v>73.589648798521253</v>
      </c>
      <c r="L20">
        <v>70.419741331429037</v>
      </c>
    </row>
    <row r="21" spans="1:12" x14ac:dyDescent="0.45">
      <c r="A21">
        <v>40</v>
      </c>
      <c r="B21">
        <v>56.820682068206828</v>
      </c>
      <c r="G21">
        <v>69.035120147874323</v>
      </c>
      <c r="L21">
        <v>55.058319447750549</v>
      </c>
    </row>
    <row r="23" spans="1:12" x14ac:dyDescent="0.45">
      <c r="A23" t="s">
        <v>8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08929-41D7-4EFC-A556-DC68E4070ACB}">
  <dimension ref="A1:N23"/>
  <sheetViews>
    <sheetView workbookViewId="0">
      <selection sqref="A1:N23"/>
    </sheetView>
  </sheetViews>
  <sheetFormatPr defaultRowHeight="15" x14ac:dyDescent="0.45"/>
  <sheetData>
    <row r="1" spans="1:14" x14ac:dyDescent="0.45">
      <c r="A1">
        <v>20200219</v>
      </c>
      <c r="B1" t="s">
        <v>7</v>
      </c>
      <c r="F1">
        <v>20200221</v>
      </c>
      <c r="G1" t="s">
        <v>7</v>
      </c>
      <c r="K1">
        <v>20200227</v>
      </c>
      <c r="L1" t="s">
        <v>6</v>
      </c>
    </row>
    <row r="2" spans="1:14" x14ac:dyDescent="0.45">
      <c r="A2">
        <v>0</v>
      </c>
      <c r="B2">
        <v>1.1313333333333333</v>
      </c>
      <c r="C2">
        <v>1.1153333333333333</v>
      </c>
      <c r="D2">
        <v>1.1313333333333333</v>
      </c>
      <c r="G2">
        <v>1.2210833333333333</v>
      </c>
      <c r="H2">
        <v>1.2070833333333333</v>
      </c>
      <c r="I2">
        <v>1.2050833333333333</v>
      </c>
      <c r="L2">
        <f ca="1">#REF!-$N$3</f>
        <v>1.0442500000000001</v>
      </c>
      <c r="M2">
        <f t="shared" ref="M2:N2" ca="1" si="0">#REF!-$N$3</f>
        <v>1.0462500000000001</v>
      </c>
      <c r="N2">
        <f t="shared" ref="N2" ca="1" si="1">#REF!-$N$3</f>
        <v>1.04125</v>
      </c>
    </row>
    <row r="3" spans="1:14" x14ac:dyDescent="0.45">
      <c r="A3">
        <v>2.5</v>
      </c>
      <c r="B3">
        <v>0.94133333333333336</v>
      </c>
      <c r="C3">
        <v>0.95933333333333326</v>
      </c>
      <c r="D3">
        <v>0.95833333333333337</v>
      </c>
      <c r="G3">
        <v>1.0250833333333333</v>
      </c>
      <c r="H3">
        <v>1.0230833333333333</v>
      </c>
      <c r="I3">
        <v>1.0400833333333332</v>
      </c>
      <c r="L3">
        <f t="shared" ref="L3:N7" ca="1" si="2">#REF!-$N$3</f>
        <v>1.12425</v>
      </c>
      <c r="M3">
        <f t="shared" ref="M3:N7" ca="1" si="3">#REF!-$N$3</f>
        <v>1.12625</v>
      </c>
      <c r="N3">
        <f t="shared" ref="N3:N7" ca="1" si="4">#REF!-$N$3</f>
        <v>1.11425</v>
      </c>
    </row>
    <row r="4" spans="1:14" x14ac:dyDescent="0.45">
      <c r="A4">
        <v>5</v>
      </c>
      <c r="B4">
        <v>1.0853333333333333</v>
      </c>
      <c r="C4">
        <v>1.0773333333333333</v>
      </c>
      <c r="D4">
        <v>1.0873333333333333</v>
      </c>
      <c r="G4">
        <v>0.99608333333333321</v>
      </c>
      <c r="H4">
        <v>0.99308333333333332</v>
      </c>
      <c r="I4">
        <v>1.0000833333333332</v>
      </c>
      <c r="L4">
        <f t="shared" ref="L4:N8" ca="1" si="5">#REF!-$N$3</f>
        <v>1.15825</v>
      </c>
      <c r="M4">
        <f t="shared" ref="M4:N8" ca="1" si="6">#REF!-$N$3</f>
        <v>1.1372500000000001</v>
      </c>
      <c r="N4">
        <f t="shared" ref="N4:N8" ca="1" si="7">#REF!-$N$3</f>
        <v>1.13425</v>
      </c>
    </row>
    <row r="5" spans="1:14" x14ac:dyDescent="0.45">
      <c r="A5">
        <v>10</v>
      </c>
      <c r="B5">
        <v>0.9993333333333333</v>
      </c>
      <c r="C5">
        <v>1.0133333333333332</v>
      </c>
      <c r="D5">
        <v>1.0083333333333333</v>
      </c>
      <c r="G5">
        <v>1.1030833333333332</v>
      </c>
      <c r="H5">
        <v>1.1130833333333332</v>
      </c>
      <c r="I5">
        <v>1.1090833333333332</v>
      </c>
      <c r="L5">
        <f t="shared" ref="L5:N9" ca="1" si="8">#REF!-$N$3</f>
        <v>0.90125</v>
      </c>
      <c r="M5">
        <f t="shared" ref="M5:N9" ca="1" si="9">#REF!-$N$3</f>
        <v>0.89524999999999999</v>
      </c>
      <c r="N5">
        <f t="shared" ref="N5:N9" ca="1" si="10">#REF!-$N$3</f>
        <v>0.90024999999999999</v>
      </c>
    </row>
    <row r="6" spans="1:14" x14ac:dyDescent="0.45">
      <c r="A6">
        <v>20</v>
      </c>
      <c r="B6">
        <v>0.80133333333333334</v>
      </c>
      <c r="C6">
        <v>0.82033333333333336</v>
      </c>
      <c r="D6">
        <v>0.81733333333333336</v>
      </c>
      <c r="G6">
        <v>0.9800833333333332</v>
      </c>
      <c r="H6">
        <v>0.97808333333333319</v>
      </c>
      <c r="I6">
        <v>0.9820833333333332</v>
      </c>
      <c r="L6">
        <f t="shared" ref="L6:N10" ca="1" si="11">#REF!-$N$3</f>
        <v>0.90425</v>
      </c>
      <c r="M6">
        <f t="shared" ref="M6:N10" ca="1" si="12">#REF!-$N$3</f>
        <v>0.91225000000000001</v>
      </c>
      <c r="N6">
        <f t="shared" ref="N6:N10" ca="1" si="13">#REF!-$N$3</f>
        <v>0.90425</v>
      </c>
    </row>
    <row r="7" spans="1:14" x14ac:dyDescent="0.45">
      <c r="A7">
        <v>40</v>
      </c>
      <c r="B7">
        <v>0.68333333333333335</v>
      </c>
      <c r="C7">
        <v>0.67433333333333334</v>
      </c>
      <c r="D7">
        <v>0.67133333333333334</v>
      </c>
      <c r="G7">
        <v>0.62608333333333333</v>
      </c>
      <c r="H7">
        <v>0.61408333333333331</v>
      </c>
      <c r="I7">
        <v>0.61108333333333331</v>
      </c>
      <c r="L7">
        <f t="shared" ref="L7:N11" ca="1" si="14">#REF!-$N$3</f>
        <v>0.73825000000000007</v>
      </c>
      <c r="M7">
        <f t="shared" ref="M7:N11" ca="1" si="15">#REF!-$N$3</f>
        <v>0.72025000000000006</v>
      </c>
      <c r="N7">
        <f t="shared" ref="N7:N11" ca="1" si="16">#REF!-$N$3</f>
        <v>0.73125000000000007</v>
      </c>
    </row>
    <row r="9" spans="1:14" x14ac:dyDescent="0.45">
      <c r="A9">
        <v>0</v>
      </c>
      <c r="B9">
        <v>1.1260000000000001</v>
      </c>
      <c r="C9">
        <v>100</v>
      </c>
      <c r="G9">
        <v>1.2110833333333335</v>
      </c>
      <c r="H9">
        <v>100</v>
      </c>
      <c r="L9">
        <f ca="1">AVERAGE(L2:N2)</f>
        <v>1.0439166666666668</v>
      </c>
      <c r="M9">
        <f ca="1">L9/$B$20*100</f>
        <v>100</v>
      </c>
    </row>
    <row r="10" spans="1:14" x14ac:dyDescent="0.45">
      <c r="A10">
        <v>2.5</v>
      </c>
      <c r="B10">
        <v>0.95299999999999996</v>
      </c>
      <c r="C10">
        <v>84.635879218472454</v>
      </c>
      <c r="G10">
        <v>1.0294166666666669</v>
      </c>
      <c r="H10">
        <v>84.999655955411825</v>
      </c>
      <c r="L10">
        <f t="shared" ref="L10:L14" ca="1" si="17">AVERAGE(L3:N3)</f>
        <v>1.1215833333333334</v>
      </c>
      <c r="M10">
        <f t="shared" ref="M10:M14" ca="1" si="18">L10/$B$20*100</f>
        <v>107.43992975173624</v>
      </c>
    </row>
    <row r="11" spans="1:14" x14ac:dyDescent="0.45">
      <c r="A11">
        <v>5</v>
      </c>
      <c r="B11">
        <v>1.0833333333333333</v>
      </c>
      <c r="C11">
        <v>96.210775606867955</v>
      </c>
      <c r="G11">
        <v>0.99641666666666662</v>
      </c>
      <c r="H11">
        <v>82.274822817037077</v>
      </c>
      <c r="L11">
        <f t="shared" ca="1" si="17"/>
        <v>1.1432500000000001</v>
      </c>
      <c r="M11">
        <f t="shared" ca="1" si="18"/>
        <v>109.51544663526782</v>
      </c>
    </row>
    <row r="12" spans="1:14" x14ac:dyDescent="0.45">
      <c r="A12">
        <v>10</v>
      </c>
      <c r="B12">
        <v>1.0069999999999999</v>
      </c>
      <c r="C12">
        <v>89.431616341030178</v>
      </c>
      <c r="G12">
        <v>1.1084166666666666</v>
      </c>
      <c r="H12">
        <v>91.522741347278597</v>
      </c>
      <c r="L12">
        <f t="shared" ca="1" si="17"/>
        <v>0.89891666666666659</v>
      </c>
      <c r="M12">
        <f t="shared" ca="1" si="18"/>
        <v>86.110002394827163</v>
      </c>
    </row>
    <row r="13" spans="1:14" x14ac:dyDescent="0.45">
      <c r="A13">
        <v>20</v>
      </c>
      <c r="B13">
        <v>0.81300000000000006</v>
      </c>
      <c r="C13">
        <v>72.202486678507995</v>
      </c>
      <c r="G13">
        <v>0.98008333333333331</v>
      </c>
      <c r="H13">
        <v>80.926168031376861</v>
      </c>
      <c r="L13">
        <f t="shared" ca="1" si="17"/>
        <v>0.90691666666666659</v>
      </c>
      <c r="M13">
        <f t="shared" ca="1" si="18"/>
        <v>86.876347090284966</v>
      </c>
    </row>
    <row r="14" spans="1:14" x14ac:dyDescent="0.45">
      <c r="A14">
        <v>40</v>
      </c>
      <c r="B14">
        <v>0.67633333333333334</v>
      </c>
      <c r="C14">
        <v>60.065127294256946</v>
      </c>
      <c r="G14">
        <v>0.61708333333333332</v>
      </c>
      <c r="H14">
        <v>50.953003509254792</v>
      </c>
      <c r="L14">
        <f t="shared" ca="1" si="17"/>
        <v>0.72991666666666666</v>
      </c>
      <c r="M14">
        <f t="shared" ca="1" si="18"/>
        <v>69.920970703280901</v>
      </c>
    </row>
    <row r="16" spans="1:14" x14ac:dyDescent="0.45">
      <c r="A16">
        <v>0</v>
      </c>
      <c r="B16">
        <v>100</v>
      </c>
      <c r="G16">
        <v>100</v>
      </c>
      <c r="L16">
        <v>100</v>
      </c>
    </row>
    <row r="17" spans="1:12" x14ac:dyDescent="0.45">
      <c r="A17">
        <v>2.5</v>
      </c>
      <c r="B17">
        <v>84.635879218472454</v>
      </c>
      <c r="G17">
        <v>84.999655955411825</v>
      </c>
      <c r="L17">
        <v>107.43992975173624</v>
      </c>
    </row>
    <row r="18" spans="1:12" x14ac:dyDescent="0.45">
      <c r="A18">
        <v>5</v>
      </c>
      <c r="B18">
        <v>96.210775606867955</v>
      </c>
      <c r="G18">
        <v>82.274822817037077</v>
      </c>
      <c r="L18">
        <v>109.51544663526782</v>
      </c>
    </row>
    <row r="19" spans="1:12" x14ac:dyDescent="0.45">
      <c r="A19">
        <v>10</v>
      </c>
      <c r="B19">
        <v>89.431616341030178</v>
      </c>
      <c r="G19">
        <v>91.522741347278597</v>
      </c>
      <c r="L19">
        <v>86.110002394827163</v>
      </c>
    </row>
    <row r="20" spans="1:12" x14ac:dyDescent="0.45">
      <c r="A20">
        <v>20</v>
      </c>
      <c r="B20">
        <v>72.202486678507995</v>
      </c>
      <c r="G20">
        <v>80.926168031376861</v>
      </c>
      <c r="L20">
        <v>86.876347090284966</v>
      </c>
    </row>
    <row r="21" spans="1:12" x14ac:dyDescent="0.45">
      <c r="A21">
        <v>40</v>
      </c>
      <c r="B21">
        <v>60.065127294256946</v>
      </c>
      <c r="G21">
        <v>50.953003509254792</v>
      </c>
      <c r="L21">
        <v>69.920970703280901</v>
      </c>
    </row>
    <row r="23" spans="1:12" x14ac:dyDescent="0.45">
      <c r="A23" t="s">
        <v>8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MTT combine</vt:lpstr>
      <vt:lpstr>raw data CRE+RPE</vt:lpstr>
      <vt:lpstr>raw data CRE+RTE</vt:lpstr>
      <vt:lpstr>raw data RPE+RTE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黃品喆</dc:creator>
  <cp:lastModifiedBy>黃品喆</cp:lastModifiedBy>
  <dcterms:created xsi:type="dcterms:W3CDTF">2015-06-05T18:19:34Z</dcterms:created>
  <dcterms:modified xsi:type="dcterms:W3CDTF">2026-03-05T04:38:02Z</dcterms:modified>
</cp:coreProperties>
</file>