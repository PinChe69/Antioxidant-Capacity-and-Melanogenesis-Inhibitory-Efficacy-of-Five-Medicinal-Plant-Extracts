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專題研究\高中科展\paper\Experiment data\"/>
    </mc:Choice>
  </mc:AlternateContent>
  <xr:revisionPtr revIDLastSave="0" documentId="13_ncr:1_{E9161DB0-5F36-4167-A4DC-2D3E8EABE12A}" xr6:coauthVersionLast="47" xr6:coauthVersionMax="47" xr10:uidLastSave="{00000000-0000-0000-0000-000000000000}"/>
  <bookViews>
    <workbookView xWindow="-98" yWindow="-98" windowWidth="21795" windowHeight="12975" tabRatio="770" activeTab="5" xr2:uid="{00000000-000D-0000-FFFF-FFFF00000000}"/>
  </bookViews>
  <sheets>
    <sheet name="MTT" sheetId="1" r:id="rId1"/>
    <sheet name="raw data CRE" sheetId="2" r:id="rId2"/>
    <sheet name="raw data FEE" sheetId="3" r:id="rId3"/>
    <sheet name="raw data IAE" sheetId="4" r:id="rId4"/>
    <sheet name="raw data RPE" sheetId="5" r:id="rId5"/>
    <sheet name="raw data R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11" i="3"/>
  <c r="H12" i="3"/>
  <c r="H13" i="3"/>
  <c r="H14" i="3"/>
  <c r="H15" i="3"/>
  <c r="H16" i="3"/>
  <c r="H19" i="3"/>
  <c r="H20" i="3"/>
  <c r="H21" i="3"/>
  <c r="H22" i="3"/>
  <c r="H23" i="3"/>
  <c r="H24" i="3"/>
  <c r="H3" i="3"/>
  <c r="H4" i="6"/>
  <c r="H5" i="6"/>
  <c r="H6" i="6"/>
  <c r="H7" i="6"/>
  <c r="H8" i="6"/>
  <c r="H11" i="6"/>
  <c r="H12" i="6"/>
  <c r="H13" i="6"/>
  <c r="H14" i="6"/>
  <c r="H15" i="6"/>
  <c r="H16" i="6"/>
  <c r="H19" i="6"/>
  <c r="H20" i="6"/>
  <c r="H21" i="6"/>
  <c r="H22" i="6"/>
  <c r="H23" i="6"/>
  <c r="H24" i="6"/>
  <c r="H3" i="6"/>
  <c r="H3" i="4"/>
  <c r="H4" i="4"/>
  <c r="H5" i="4"/>
  <c r="H6" i="4"/>
  <c r="H7" i="4"/>
  <c r="H8" i="4"/>
  <c r="H11" i="4"/>
  <c r="H12" i="4"/>
  <c r="H13" i="4"/>
  <c r="H14" i="4"/>
  <c r="H15" i="4"/>
  <c r="H16" i="4"/>
  <c r="H19" i="4"/>
  <c r="H20" i="4"/>
  <c r="H21" i="4"/>
  <c r="H22" i="4"/>
  <c r="H23" i="4"/>
  <c r="H24" i="4"/>
  <c r="H4" i="2"/>
  <c r="H5" i="2"/>
  <c r="H6" i="2"/>
  <c r="H7" i="2"/>
  <c r="H8" i="2"/>
  <c r="H11" i="2"/>
  <c r="H12" i="2"/>
  <c r="H13" i="2"/>
  <c r="H14" i="2"/>
  <c r="H15" i="2"/>
  <c r="H16" i="2"/>
  <c r="H19" i="2"/>
  <c r="H20" i="2"/>
  <c r="H21" i="2"/>
  <c r="H22" i="2"/>
  <c r="H23" i="2"/>
  <c r="H24" i="2"/>
  <c r="H3" i="2"/>
  <c r="H4" i="5"/>
  <c r="H5" i="5"/>
  <c r="H6" i="5"/>
  <c r="H7" i="5"/>
  <c r="H8" i="5"/>
  <c r="H11" i="5"/>
  <c r="H12" i="5"/>
  <c r="H13" i="5"/>
  <c r="H14" i="5"/>
  <c r="H15" i="5"/>
  <c r="H16" i="5"/>
  <c r="H19" i="5"/>
  <c r="H20" i="5"/>
  <c r="H21" i="5"/>
  <c r="H22" i="5"/>
  <c r="H23" i="5"/>
  <c r="H24" i="5"/>
  <c r="H3" i="5"/>
</calcChain>
</file>

<file path=xl/sharedStrings.xml><?xml version="1.0" encoding="utf-8"?>
<sst xmlns="http://schemas.openxmlformats.org/spreadsheetml/2006/main" count="36" uniqueCount="11">
  <si>
    <t>MTT</t>
    <phoneticPr fontId="3" type="noConversion"/>
  </si>
  <si>
    <t>CRE</t>
    <phoneticPr fontId="3" type="noConversion"/>
  </si>
  <si>
    <t>Concentration</t>
  </si>
  <si>
    <t>%</t>
    <phoneticPr fontId="3" type="noConversion"/>
  </si>
  <si>
    <t>FEE</t>
    <phoneticPr fontId="3" type="noConversion"/>
  </si>
  <si>
    <t>IAE</t>
    <phoneticPr fontId="3" type="noConversion"/>
  </si>
  <si>
    <t>RPE</t>
    <phoneticPr fontId="3" type="noConversion"/>
  </si>
  <si>
    <t>RTE</t>
    <phoneticPr fontId="3" type="noConversion"/>
  </si>
  <si>
    <t>Cell Viability (% of Control)</t>
  </si>
  <si>
    <t>Mean</t>
    <phoneticPr fontId="2" type="noConversion"/>
  </si>
  <si>
    <t>Concentration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</si>
</sst>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6"/>
  <sheetViews>
    <sheetView topLeftCell="A27" workbookViewId="0">
      <selection activeCell="I18" sqref="I18"/>
    </sheetView>
  </sheetViews>
  <sheetFormatPr defaultRowHeight="15" x14ac:dyDescent="0.45"/>
  <sheetData>
    <row r="1" spans="2:5" ht="15.4" thickBot="1" x14ac:dyDescent="0.5"/>
    <row r="2" spans="2:5" ht="15.4" x14ac:dyDescent="0.45">
      <c r="B2" s="1" t="s">
        <v>0</v>
      </c>
      <c r="C2" s="2"/>
      <c r="D2" s="2"/>
      <c r="E2" s="3"/>
    </row>
    <row r="3" spans="2:5" ht="15.4" x14ac:dyDescent="0.45">
      <c r="B3" s="4" t="s">
        <v>1</v>
      </c>
      <c r="C3" s="5"/>
      <c r="D3" s="5"/>
      <c r="E3" s="6"/>
    </row>
    <row r="4" spans="2:5" ht="15.4" x14ac:dyDescent="0.45">
      <c r="B4" s="7" t="s">
        <v>2</v>
      </c>
      <c r="C4" s="18" t="s">
        <v>3</v>
      </c>
      <c r="D4" s="18"/>
      <c r="E4" s="19"/>
    </row>
    <row r="5" spans="2:5" ht="15.4" x14ac:dyDescent="0.45">
      <c r="B5" s="7">
        <v>0</v>
      </c>
      <c r="C5" s="10">
        <v>100</v>
      </c>
      <c r="D5" s="10">
        <v>100</v>
      </c>
      <c r="E5" s="11">
        <v>99.999999999999986</v>
      </c>
    </row>
    <row r="6" spans="2:5" ht="15.4" x14ac:dyDescent="0.45">
      <c r="B6" s="7">
        <v>10</v>
      </c>
      <c r="C6" s="10">
        <v>92.711641660278175</v>
      </c>
      <c r="D6" s="10">
        <v>98.751200768491842</v>
      </c>
      <c r="E6" s="11">
        <v>85.529489147116848</v>
      </c>
    </row>
    <row r="7" spans="2:5" ht="15.4" x14ac:dyDescent="0.45">
      <c r="B7" s="7">
        <v>20</v>
      </c>
      <c r="C7" s="10">
        <v>80.486255612747783</v>
      </c>
      <c r="D7" s="10">
        <v>84.547824893646222</v>
      </c>
      <c r="E7" s="11">
        <v>64.371848278886191</v>
      </c>
    </row>
    <row r="8" spans="2:5" ht="15.4" x14ac:dyDescent="0.45">
      <c r="B8" s="7">
        <v>30</v>
      </c>
      <c r="C8" s="10">
        <v>72.193626108859931</v>
      </c>
      <c r="D8" s="10">
        <v>69.726910937285595</v>
      </c>
      <c r="E8" s="11">
        <v>64.336768252576178</v>
      </c>
    </row>
    <row r="9" spans="2:5" ht="15.4" x14ac:dyDescent="0.45">
      <c r="B9" s="7">
        <v>40</v>
      </c>
      <c r="C9" s="10">
        <v>76.04424488007885</v>
      </c>
      <c r="D9" s="10">
        <v>67.119527926444349</v>
      </c>
      <c r="E9" s="11">
        <v>65.810129357597006</v>
      </c>
    </row>
    <row r="10" spans="2:5" ht="15.4" x14ac:dyDescent="0.45">
      <c r="B10" s="12">
        <v>50</v>
      </c>
      <c r="C10" s="13">
        <v>65.149490745810979</v>
      </c>
      <c r="D10" s="13">
        <v>55.866611774392759</v>
      </c>
      <c r="E10" s="14">
        <v>51.655338741504053</v>
      </c>
    </row>
    <row r="11" spans="2:5" ht="15.4" x14ac:dyDescent="0.45">
      <c r="B11" s="7"/>
      <c r="C11" s="8"/>
      <c r="D11" s="8"/>
      <c r="E11" s="9"/>
    </row>
    <row r="12" spans="2:5" ht="15.4" x14ac:dyDescent="0.45">
      <c r="B12" s="4" t="s">
        <v>4</v>
      </c>
      <c r="C12" s="5"/>
      <c r="D12" s="5"/>
      <c r="E12" s="6"/>
    </row>
    <row r="13" spans="2:5" ht="15.4" x14ac:dyDescent="0.45">
      <c r="B13" s="7" t="s">
        <v>2</v>
      </c>
      <c r="C13" s="18" t="s">
        <v>3</v>
      </c>
      <c r="D13" s="18"/>
      <c r="E13" s="19"/>
    </row>
    <row r="14" spans="2:5" ht="15.4" x14ac:dyDescent="0.45">
      <c r="B14" s="7">
        <v>0</v>
      </c>
      <c r="C14" s="10">
        <v>100</v>
      </c>
      <c r="D14" s="10">
        <v>99.999999999999986</v>
      </c>
      <c r="E14" s="11">
        <v>100</v>
      </c>
    </row>
    <row r="15" spans="2:5" ht="15.4" x14ac:dyDescent="0.45">
      <c r="B15" s="7">
        <v>10</v>
      </c>
      <c r="C15" s="10">
        <v>94.078281408165566</v>
      </c>
      <c r="D15" s="10">
        <v>88.111875833977095</v>
      </c>
      <c r="E15" s="11">
        <v>97.32681051803965</v>
      </c>
    </row>
    <row r="16" spans="2:5" ht="15.4" x14ac:dyDescent="0.45">
      <c r="B16" s="7">
        <v>20</v>
      </c>
      <c r="C16" s="10">
        <v>98.684062535147888</v>
      </c>
      <c r="D16" s="10">
        <v>76.624060678418417</v>
      </c>
      <c r="E16" s="11">
        <v>81.75941294662357</v>
      </c>
    </row>
    <row r="17" spans="2:5" ht="15.4" x14ac:dyDescent="0.45">
      <c r="B17" s="7">
        <v>30</v>
      </c>
      <c r="C17" s="10">
        <v>84.056911483522654</v>
      </c>
      <c r="D17" s="10">
        <v>83.318702156050279</v>
      </c>
      <c r="E17" s="11">
        <v>91.657202760548614</v>
      </c>
    </row>
    <row r="18" spans="2:5" ht="15.4" x14ac:dyDescent="0.45">
      <c r="B18" s="7">
        <v>40</v>
      </c>
      <c r="C18" s="10">
        <v>96.929479248678433</v>
      </c>
      <c r="D18" s="10">
        <v>87.154996839665685</v>
      </c>
      <c r="E18" s="11">
        <v>87.254302437319794</v>
      </c>
    </row>
    <row r="19" spans="2:5" ht="15.4" x14ac:dyDescent="0.45">
      <c r="B19" s="12">
        <v>50</v>
      </c>
      <c r="C19" s="13">
        <v>84.444944325722645</v>
      </c>
      <c r="D19" s="13">
        <v>83.845424538240039</v>
      </c>
      <c r="E19" s="14">
        <v>91.13304796016422</v>
      </c>
    </row>
    <row r="20" spans="2:5" ht="15.4" x14ac:dyDescent="0.45">
      <c r="B20" s="7"/>
      <c r="C20" s="8"/>
      <c r="D20" s="8"/>
      <c r="E20" s="9"/>
    </row>
    <row r="21" spans="2:5" ht="15.4" x14ac:dyDescent="0.45">
      <c r="B21" s="4" t="s">
        <v>5</v>
      </c>
      <c r="C21" s="5"/>
      <c r="D21" s="5"/>
      <c r="E21" s="6"/>
    </row>
    <row r="22" spans="2:5" ht="15.4" x14ac:dyDescent="0.45">
      <c r="B22" s="7" t="s">
        <v>2</v>
      </c>
      <c r="C22" s="18" t="s">
        <v>3</v>
      </c>
      <c r="D22" s="18"/>
      <c r="E22" s="19"/>
    </row>
    <row r="23" spans="2:5" ht="15.4" x14ac:dyDescent="0.45">
      <c r="B23" s="7">
        <v>0</v>
      </c>
      <c r="C23" s="10">
        <v>99.999999999999957</v>
      </c>
      <c r="D23" s="10">
        <v>100</v>
      </c>
      <c r="E23" s="11">
        <v>99.999999999999986</v>
      </c>
    </row>
    <row r="24" spans="2:5" ht="15.4" x14ac:dyDescent="0.45">
      <c r="B24" s="7">
        <v>25</v>
      </c>
      <c r="C24" s="10">
        <v>81.942083986469726</v>
      </c>
      <c r="D24" s="10">
        <v>91.124096897577559</v>
      </c>
      <c r="E24" s="11">
        <v>94.806339792013134</v>
      </c>
    </row>
    <row r="25" spans="2:5" ht="15.4" x14ac:dyDescent="0.45">
      <c r="B25" s="7">
        <v>50</v>
      </c>
      <c r="C25" s="10">
        <v>79.526441712729934</v>
      </c>
      <c r="D25" s="10">
        <v>89.708882277943047</v>
      </c>
      <c r="E25" s="11">
        <v>78.347726771795536</v>
      </c>
    </row>
    <row r="26" spans="2:5" ht="15.4" x14ac:dyDescent="0.45">
      <c r="B26" s="7">
        <v>100</v>
      </c>
      <c r="C26" s="10">
        <v>69.735170365481366</v>
      </c>
      <c r="D26" s="10">
        <v>66.198470038249042</v>
      </c>
      <c r="E26" s="11">
        <v>75.119722684192595</v>
      </c>
    </row>
    <row r="27" spans="2:5" ht="15.4" x14ac:dyDescent="0.45">
      <c r="B27" s="7">
        <v>125</v>
      </c>
      <c r="C27" s="10">
        <v>76.474713307482844</v>
      </c>
      <c r="D27" s="10">
        <v>69.273268168295786</v>
      </c>
      <c r="E27" s="11">
        <v>76.126595467569672</v>
      </c>
    </row>
    <row r="28" spans="2:5" ht="15.4" x14ac:dyDescent="0.45">
      <c r="B28" s="12">
        <v>150</v>
      </c>
      <c r="C28" s="13">
        <v>71.02961801831529</v>
      </c>
      <c r="D28" s="13">
        <v>55.854228644283893</v>
      </c>
      <c r="E28" s="14">
        <v>58.258360550624161</v>
      </c>
    </row>
    <row r="29" spans="2:5" ht="15.4" x14ac:dyDescent="0.45">
      <c r="B29" s="7"/>
      <c r="C29" s="8"/>
      <c r="D29" s="8"/>
      <c r="E29" s="9"/>
    </row>
    <row r="30" spans="2:5" ht="15.4" x14ac:dyDescent="0.45">
      <c r="B30" s="4" t="s">
        <v>6</v>
      </c>
      <c r="C30" s="5"/>
      <c r="D30" s="5"/>
      <c r="E30" s="6"/>
    </row>
    <row r="31" spans="2:5" ht="15.4" x14ac:dyDescent="0.45">
      <c r="B31" s="7" t="s">
        <v>2</v>
      </c>
      <c r="C31" s="18" t="s">
        <v>3</v>
      </c>
      <c r="D31" s="18"/>
      <c r="E31" s="19"/>
    </row>
    <row r="32" spans="2:5" ht="15.4" x14ac:dyDescent="0.45">
      <c r="B32" s="7">
        <v>0</v>
      </c>
      <c r="C32" s="10">
        <v>99.999999999999972</v>
      </c>
      <c r="D32" s="10">
        <v>100</v>
      </c>
      <c r="E32" s="11">
        <v>100.00000000000001</v>
      </c>
    </row>
    <row r="33" spans="2:5" ht="15.4" x14ac:dyDescent="0.45">
      <c r="B33" s="7">
        <v>10</v>
      </c>
      <c r="C33" s="10">
        <v>99.636789689513762</v>
      </c>
      <c r="D33" s="10">
        <v>100.97304310220557</v>
      </c>
      <c r="E33" s="11">
        <v>104.6424527480185</v>
      </c>
    </row>
    <row r="34" spans="2:5" ht="15.4" x14ac:dyDescent="0.45">
      <c r="B34" s="7">
        <v>20</v>
      </c>
      <c r="C34" s="10">
        <v>110.53309900410075</v>
      </c>
      <c r="D34" s="10">
        <v>94.032002306472549</v>
      </c>
      <c r="E34" s="11">
        <v>93.667798972214982</v>
      </c>
    </row>
    <row r="35" spans="2:5" ht="15.4" x14ac:dyDescent="0.45">
      <c r="B35" s="7">
        <v>30</v>
      </c>
      <c r="C35" s="10">
        <v>93.511423550087855</v>
      </c>
      <c r="D35" s="10">
        <v>83.237710826005468</v>
      </c>
      <c r="E35" s="11">
        <v>87.954010974653784</v>
      </c>
    </row>
    <row r="36" spans="2:5" ht="15.4" x14ac:dyDescent="0.45">
      <c r="B36" s="7">
        <v>40</v>
      </c>
      <c r="C36" s="10">
        <v>83.065026362038651</v>
      </c>
      <c r="D36" s="10">
        <v>75.522560184517801</v>
      </c>
      <c r="E36" s="11">
        <v>89.347617803327239</v>
      </c>
    </row>
    <row r="37" spans="2:5" ht="15.4" x14ac:dyDescent="0.45">
      <c r="B37" s="12">
        <v>50</v>
      </c>
      <c r="C37" s="13">
        <v>68.428822495606326</v>
      </c>
      <c r="D37" s="13">
        <v>62.548652155110283</v>
      </c>
      <c r="E37" s="14">
        <v>67.502830763870747</v>
      </c>
    </row>
    <row r="38" spans="2:5" ht="15.4" x14ac:dyDescent="0.45">
      <c r="B38" s="7"/>
      <c r="C38" s="8"/>
      <c r="D38" s="8"/>
      <c r="E38" s="9"/>
    </row>
    <row r="39" spans="2:5" ht="15.4" x14ac:dyDescent="0.45">
      <c r="B39" s="4" t="s">
        <v>7</v>
      </c>
      <c r="C39" s="5"/>
      <c r="D39" s="5"/>
      <c r="E39" s="6"/>
    </row>
    <row r="40" spans="2:5" ht="15.4" x14ac:dyDescent="0.45">
      <c r="B40" s="7" t="s">
        <v>2</v>
      </c>
      <c r="C40" s="18" t="s">
        <v>3</v>
      </c>
      <c r="D40" s="18"/>
      <c r="E40" s="19"/>
    </row>
    <row r="41" spans="2:5" ht="15.4" x14ac:dyDescent="0.45">
      <c r="B41" s="7">
        <v>0</v>
      </c>
      <c r="C41" s="10">
        <v>99.999999999999957</v>
      </c>
      <c r="D41" s="10">
        <v>100</v>
      </c>
      <c r="E41" s="11">
        <v>100</v>
      </c>
    </row>
    <row r="42" spans="2:5" ht="15.4" x14ac:dyDescent="0.45">
      <c r="B42" s="7">
        <v>10</v>
      </c>
      <c r="C42" s="10">
        <v>90.888099467140307</v>
      </c>
      <c r="D42" s="10">
        <v>94.853801169590625</v>
      </c>
      <c r="E42" s="11">
        <v>94.767011834319533</v>
      </c>
    </row>
    <row r="43" spans="2:5" ht="15.4" x14ac:dyDescent="0.45">
      <c r="B43" s="7">
        <v>20</v>
      </c>
      <c r="C43" s="10">
        <v>89.264653641207801</v>
      </c>
      <c r="D43" s="10">
        <v>89.759584145549056</v>
      </c>
      <c r="E43" s="11">
        <v>94.332470414201197</v>
      </c>
    </row>
    <row r="44" spans="2:5" ht="15.4" x14ac:dyDescent="0.45">
      <c r="B44" s="7">
        <v>30</v>
      </c>
      <c r="C44" s="10">
        <v>89.861456483126091</v>
      </c>
      <c r="D44" s="10">
        <v>88.732943469785582</v>
      </c>
      <c r="E44" s="11">
        <v>82.294748520710058</v>
      </c>
    </row>
    <row r="45" spans="2:5" ht="15.4" x14ac:dyDescent="0.45">
      <c r="B45" s="7">
        <v>40</v>
      </c>
      <c r="C45" s="10">
        <v>82.891651865008868</v>
      </c>
      <c r="D45" s="10">
        <v>82.638076673164392</v>
      </c>
      <c r="E45" s="11">
        <v>74.514607988165679</v>
      </c>
    </row>
    <row r="46" spans="2:5" ht="15.75" thickBot="1" x14ac:dyDescent="0.5">
      <c r="B46" s="15">
        <v>50</v>
      </c>
      <c r="C46" s="16">
        <v>83.85079928952041</v>
      </c>
      <c r="D46" s="16">
        <v>84.652371669915524</v>
      </c>
      <c r="E46" s="17">
        <v>68.870192307692307</v>
      </c>
    </row>
  </sheetData>
  <mergeCells count="5">
    <mergeCell ref="C4:E4"/>
    <mergeCell ref="C13:E13"/>
    <mergeCell ref="C22:E22"/>
    <mergeCell ref="C31:E31"/>
    <mergeCell ref="C40:E4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C249-DC0B-441B-B460-F78DC6FB290A}">
  <dimension ref="A1:U25"/>
  <sheetViews>
    <sheetView zoomScale="70" zoomScaleNormal="70" workbookViewId="0">
      <selection activeCell="A25" sqref="A25"/>
    </sheetView>
  </sheetViews>
  <sheetFormatPr defaultRowHeight="15" x14ac:dyDescent="0.45"/>
  <sheetData>
    <row r="1" spans="1:21" x14ac:dyDescent="0.45">
      <c r="A1" s="20" t="s">
        <v>1</v>
      </c>
      <c r="B1" t="s">
        <v>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45">
      <c r="A2" s="20"/>
      <c r="B2" s="20">
        <v>20200508</v>
      </c>
      <c r="C2" s="20"/>
      <c r="D2" s="20"/>
      <c r="E2" s="20"/>
      <c r="F2" s="20"/>
      <c r="G2" s="20"/>
      <c r="H2" s="20" t="s">
        <v>9</v>
      </c>
      <c r="O2" s="20"/>
    </row>
    <row r="3" spans="1:21" x14ac:dyDescent="0.45">
      <c r="A3" s="20">
        <v>0</v>
      </c>
      <c r="B3" s="20">
        <v>104.1945022450991</v>
      </c>
      <c r="C3" s="20">
        <v>95.652173913043484</v>
      </c>
      <c r="D3" s="20">
        <v>91.775271054648996</v>
      </c>
      <c r="E3" s="20">
        <v>106.56007009089912</v>
      </c>
      <c r="F3" s="20">
        <v>94.272259336326798</v>
      </c>
      <c r="G3" s="20">
        <v>107.54572335998247</v>
      </c>
      <c r="H3" s="20">
        <f>AVERAGE(B3:G3)</f>
        <v>100</v>
      </c>
      <c r="O3" s="20"/>
    </row>
    <row r="4" spans="1:21" x14ac:dyDescent="0.45">
      <c r="A4" s="20">
        <v>10</v>
      </c>
      <c r="B4" s="20"/>
      <c r="C4" s="20">
        <v>89.409703208848981</v>
      </c>
      <c r="D4" s="20">
        <v>95.980725002737927</v>
      </c>
      <c r="E4" s="20"/>
      <c r="F4" s="20">
        <v>98.740554156171285</v>
      </c>
      <c r="G4" s="20">
        <v>86.715584273354509</v>
      </c>
      <c r="H4" s="20">
        <f t="shared" ref="H4:H24" si="0">AVERAGE(B4:G4)</f>
        <v>92.711641660278175</v>
      </c>
      <c r="O4" s="20"/>
    </row>
    <row r="5" spans="1:21" x14ac:dyDescent="0.45">
      <c r="A5" s="20">
        <v>20</v>
      </c>
      <c r="B5" s="20">
        <v>72.062205672982145</v>
      </c>
      <c r="C5" s="20">
        <v>75.347716569926632</v>
      </c>
      <c r="D5" s="20">
        <v>83.692914248165593</v>
      </c>
      <c r="E5" s="20"/>
      <c r="F5" s="20">
        <v>84.875698171065608</v>
      </c>
      <c r="G5" s="20">
        <v>86.452743401598951</v>
      </c>
      <c r="H5" s="20">
        <f t="shared" si="0"/>
        <v>80.486255612747783</v>
      </c>
      <c r="O5" s="20"/>
    </row>
    <row r="6" spans="1:21" x14ac:dyDescent="0.45">
      <c r="A6" s="20">
        <v>30</v>
      </c>
      <c r="B6" s="20">
        <v>69.433796955426558</v>
      </c>
      <c r="C6" s="20">
        <v>67.265359763443229</v>
      </c>
      <c r="D6" s="20">
        <v>72.522177198554374</v>
      </c>
      <c r="E6" s="20"/>
      <c r="F6" s="20">
        <v>63.782718212682063</v>
      </c>
      <c r="G6" s="20">
        <v>87.964078414193409</v>
      </c>
      <c r="H6" s="20">
        <f t="shared" si="0"/>
        <v>72.193626108859931</v>
      </c>
      <c r="O6" s="20"/>
    </row>
    <row r="7" spans="1:21" x14ac:dyDescent="0.45">
      <c r="A7" s="20">
        <v>40</v>
      </c>
      <c r="B7" s="20">
        <v>77.253312890154419</v>
      </c>
      <c r="C7" s="20">
        <v>75.479137005804404</v>
      </c>
      <c r="D7" s="20">
        <v>86.321322965721166</v>
      </c>
      <c r="E7" s="20"/>
      <c r="F7" s="20">
        <v>64.768371481765413</v>
      </c>
      <c r="G7" s="20">
        <v>76.399080056948847</v>
      </c>
      <c r="H7" s="20">
        <f t="shared" si="0"/>
        <v>76.04424488007885</v>
      </c>
      <c r="O7" s="20"/>
    </row>
    <row r="8" spans="1:21" x14ac:dyDescent="0.45">
      <c r="A8" s="20">
        <v>50</v>
      </c>
      <c r="B8" s="20">
        <v>66.805388237870986</v>
      </c>
      <c r="C8" s="20">
        <v>67.856751724893215</v>
      </c>
      <c r="D8" s="20">
        <v>68.251013032526558</v>
      </c>
      <c r="E8" s="20"/>
      <c r="F8" s="20">
        <v>49.2607600481875</v>
      </c>
      <c r="G8" s="20">
        <v>73.573540685576603</v>
      </c>
      <c r="H8" s="20">
        <f t="shared" si="0"/>
        <v>65.149490745810979</v>
      </c>
      <c r="O8" s="20"/>
    </row>
    <row r="9" spans="1:21" x14ac:dyDescent="0.45">
      <c r="H9" s="20"/>
    </row>
    <row r="10" spans="1:21" x14ac:dyDescent="0.45">
      <c r="B10" s="20">
        <v>20200604</v>
      </c>
      <c r="C10" s="20"/>
      <c r="D10" s="20"/>
      <c r="E10" s="20"/>
      <c r="F10" s="20"/>
      <c r="G10" s="20"/>
      <c r="H10" s="20"/>
    </row>
    <row r="11" spans="1:21" x14ac:dyDescent="0.45">
      <c r="A11" s="20">
        <v>0</v>
      </c>
      <c r="B11" s="20">
        <v>102.60738301084122</v>
      </c>
      <c r="C11" s="20">
        <v>101.5369836695485</v>
      </c>
      <c r="D11" s="20">
        <v>99.643200219569096</v>
      </c>
      <c r="E11" s="20">
        <v>99.80787704130644</v>
      </c>
      <c r="F11" s="20">
        <v>101.86633731302319</v>
      </c>
      <c r="G11" s="20">
        <v>94.538218745711546</v>
      </c>
      <c r="H11" s="20">
        <f t="shared" si="0"/>
        <v>100</v>
      </c>
    </row>
    <row r="12" spans="1:21" x14ac:dyDescent="0.45">
      <c r="A12" s="20">
        <v>10</v>
      </c>
      <c r="B12" s="20">
        <v>106.39494991080008</v>
      </c>
      <c r="C12" s="20">
        <v>98.902154521751072</v>
      </c>
      <c r="D12" s="20">
        <v>94.373541923974201</v>
      </c>
      <c r="E12" s="20">
        <v>105.32455056950734</v>
      </c>
      <c r="F12" s="20">
        <v>93.961849869630854</v>
      </c>
      <c r="G12" s="20">
        <v>93.550157815287491</v>
      </c>
      <c r="H12" s="20">
        <f t="shared" si="0"/>
        <v>98.751200768491842</v>
      </c>
    </row>
    <row r="13" spans="1:21" x14ac:dyDescent="0.45">
      <c r="A13" s="20">
        <v>20</v>
      </c>
      <c r="B13" s="20">
        <v>89.103883628379293</v>
      </c>
      <c r="C13" s="20">
        <v>82.681487580623042</v>
      </c>
      <c r="D13" s="20">
        <v>71.154110059009199</v>
      </c>
      <c r="E13" s="20">
        <v>92.89145052833814</v>
      </c>
      <c r="F13" s="20">
        <v>87.868807465349249</v>
      </c>
      <c r="G13" s="20">
        <v>83.587210100178396</v>
      </c>
      <c r="H13" s="20">
        <f t="shared" si="0"/>
        <v>84.547824893646222</v>
      </c>
    </row>
    <row r="14" spans="1:21" x14ac:dyDescent="0.45">
      <c r="A14" s="20">
        <v>30</v>
      </c>
      <c r="B14" s="20">
        <v>74.365308082887339</v>
      </c>
      <c r="C14" s="20">
        <v>72.800878276382605</v>
      </c>
      <c r="D14" s="20">
        <v>66.131466996020322</v>
      </c>
      <c r="E14" s="20">
        <v>68.601619322080438</v>
      </c>
      <c r="F14" s="20">
        <v>64.567037189515588</v>
      </c>
      <c r="G14" s="20">
        <v>71.895155756827236</v>
      </c>
      <c r="H14" s="20">
        <f t="shared" si="0"/>
        <v>69.726910937285595</v>
      </c>
    </row>
    <row r="15" spans="1:21" x14ac:dyDescent="0.45">
      <c r="A15" s="20">
        <v>40</v>
      </c>
      <c r="B15" s="20">
        <v>68.107588856868404</v>
      </c>
      <c r="C15" s="20">
        <v>64.320021956909571</v>
      </c>
      <c r="D15" s="20">
        <v>63.08494579387952</v>
      </c>
      <c r="E15" s="20">
        <v>71.07177164814054</v>
      </c>
      <c r="F15" s="20">
        <v>66.296143817757653</v>
      </c>
      <c r="G15" s="20">
        <v>69.836695485110482</v>
      </c>
      <c r="H15" s="20">
        <f t="shared" si="0"/>
        <v>67.119527926444349</v>
      </c>
    </row>
    <row r="16" spans="1:21" x14ac:dyDescent="0.45">
      <c r="A16" s="20">
        <v>50</v>
      </c>
      <c r="B16" s="20">
        <v>54.933443117881161</v>
      </c>
      <c r="C16" s="20">
        <v>55.098119939618506</v>
      </c>
      <c r="D16" s="20">
        <v>55.262796761355851</v>
      </c>
      <c r="E16" s="20">
        <v>58.062302730890636</v>
      </c>
      <c r="F16" s="20">
        <v>51.475229861397018</v>
      </c>
      <c r="G16" s="20">
        <v>60.367778235213407</v>
      </c>
      <c r="H16" s="20">
        <f t="shared" si="0"/>
        <v>55.866611774392759</v>
      </c>
    </row>
    <row r="17" spans="1:8" x14ac:dyDescent="0.45">
      <c r="H17" s="20"/>
    </row>
    <row r="18" spans="1:8" x14ac:dyDescent="0.45">
      <c r="B18" s="20">
        <v>20200612</v>
      </c>
      <c r="C18" s="20"/>
      <c r="D18" s="20"/>
      <c r="E18" s="20"/>
      <c r="F18" s="20"/>
      <c r="G18" s="20"/>
      <c r="H18" s="20"/>
    </row>
    <row r="19" spans="1:8" x14ac:dyDescent="0.45">
      <c r="A19" s="20">
        <v>0</v>
      </c>
      <c r="B19" s="20">
        <v>106.38017978513483</v>
      </c>
      <c r="C19" s="20">
        <v>87.173865380399022</v>
      </c>
      <c r="D19" s="20">
        <v>100.59197544398157</v>
      </c>
      <c r="E19" s="20">
        <v>105.85397939048453</v>
      </c>
      <c r="F19" s="20"/>
      <c r="G19" s="20"/>
      <c r="H19" s="20">
        <f t="shared" si="0"/>
        <v>99.999999999999986</v>
      </c>
    </row>
    <row r="20" spans="1:8" x14ac:dyDescent="0.45">
      <c r="A20" s="20">
        <v>10</v>
      </c>
      <c r="B20" s="20">
        <v>86.998465248848916</v>
      </c>
      <c r="C20" s="20"/>
      <c r="D20" s="20">
        <v>90.857268142951099</v>
      </c>
      <c r="E20" s="20">
        <v>89.541767156325363</v>
      </c>
      <c r="F20" s="20">
        <v>74.720456040342015</v>
      </c>
      <c r="G20" s="20"/>
      <c r="H20" s="20">
        <f t="shared" si="0"/>
        <v>85.529489147116848</v>
      </c>
    </row>
    <row r="21" spans="1:8" x14ac:dyDescent="0.45">
      <c r="A21" s="20">
        <v>20</v>
      </c>
      <c r="B21" s="20"/>
      <c r="C21" s="20">
        <v>72.791054593290937</v>
      </c>
      <c r="D21" s="20">
        <v>64.459548344661258</v>
      </c>
      <c r="E21" s="20">
        <v>68.669151501863595</v>
      </c>
      <c r="F21" s="20">
        <v>65.336549002411729</v>
      </c>
      <c r="G21" s="20">
        <v>50.602937952203455</v>
      </c>
      <c r="H21" s="20">
        <f t="shared" si="0"/>
        <v>64.371848278886191</v>
      </c>
    </row>
    <row r="22" spans="1:8" x14ac:dyDescent="0.45">
      <c r="A22" s="20">
        <v>30</v>
      </c>
      <c r="B22" s="20">
        <v>65.248848936636691</v>
      </c>
      <c r="C22" s="20">
        <v>67.79215084411311</v>
      </c>
      <c r="D22" s="20">
        <v>65.775049331286979</v>
      </c>
      <c r="E22" s="20">
        <v>54.637140977855722</v>
      </c>
      <c r="F22" s="20">
        <v>68.23065117298836</v>
      </c>
      <c r="G22" s="20"/>
      <c r="H22" s="20">
        <f t="shared" si="0"/>
        <v>64.336768252576178</v>
      </c>
    </row>
    <row r="23" spans="1:8" x14ac:dyDescent="0.45">
      <c r="A23" s="20">
        <v>40</v>
      </c>
      <c r="B23" s="20">
        <v>74.018855514141634</v>
      </c>
      <c r="C23" s="20">
        <v>64.547248410436296</v>
      </c>
      <c r="D23" s="20">
        <v>66.388949791712321</v>
      </c>
      <c r="E23" s="20">
        <v>63.231747423810567</v>
      </c>
      <c r="F23" s="20">
        <v>60.863845647884219</v>
      </c>
      <c r="G23" s="20"/>
      <c r="H23" s="20">
        <f t="shared" si="0"/>
        <v>65.810129357597006</v>
      </c>
    </row>
    <row r="24" spans="1:8" x14ac:dyDescent="0.45">
      <c r="A24" s="20">
        <v>50</v>
      </c>
      <c r="B24" s="20"/>
      <c r="C24" s="20">
        <v>56.917342688007011</v>
      </c>
      <c r="D24" s="20">
        <v>61.65314623985968</v>
      </c>
      <c r="E24" s="20">
        <v>47.445735584301673</v>
      </c>
      <c r="F24" s="20">
        <v>40.34203025652269</v>
      </c>
      <c r="G24" s="20">
        <v>51.918438938829205</v>
      </c>
      <c r="H24" s="20">
        <f t="shared" si="0"/>
        <v>51.655338741504053</v>
      </c>
    </row>
    <row r="25" spans="1:8" x14ac:dyDescent="0.45">
      <c r="A25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0BFA2-5DD8-4A1C-9DC6-3FF3B2901422}">
  <dimension ref="A1:U25"/>
  <sheetViews>
    <sheetView topLeftCell="C1" zoomScale="85" zoomScaleNormal="85" workbookViewId="0">
      <selection activeCell="L23" sqref="L23"/>
    </sheetView>
  </sheetViews>
  <sheetFormatPr defaultRowHeight="15" x14ac:dyDescent="0.45"/>
  <sheetData>
    <row r="1" spans="1:21" x14ac:dyDescent="0.45">
      <c r="A1" s="20" t="s">
        <v>4</v>
      </c>
      <c r="B1" t="s">
        <v>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45">
      <c r="A2" s="20"/>
      <c r="B2" s="20">
        <v>20200512</v>
      </c>
      <c r="C2" s="20"/>
      <c r="D2" s="20"/>
      <c r="E2" s="20"/>
      <c r="F2" s="20"/>
      <c r="G2" s="20"/>
      <c r="H2" s="20" t="s">
        <v>9</v>
      </c>
      <c r="O2" s="20"/>
    </row>
    <row r="3" spans="1:21" x14ac:dyDescent="0.45">
      <c r="A3" s="20">
        <v>0</v>
      </c>
      <c r="B3" s="20"/>
      <c r="C3" s="20"/>
      <c r="D3" s="20">
        <v>91.092115622539637</v>
      </c>
      <c r="E3" s="20">
        <v>110.52749971881677</v>
      </c>
      <c r="F3" s="20">
        <v>104.04903835339108</v>
      </c>
      <c r="G3" s="20">
        <v>94.331346305252495</v>
      </c>
      <c r="H3" s="20">
        <f>AVERAGE(B3:G3)</f>
        <v>100</v>
      </c>
      <c r="O3" s="20"/>
    </row>
    <row r="4" spans="1:21" x14ac:dyDescent="0.45">
      <c r="A4" s="20">
        <v>10</v>
      </c>
      <c r="B4" s="20"/>
      <c r="C4" s="20">
        <v>93.454054662017768</v>
      </c>
      <c r="D4" s="20">
        <v>88.257788775165906</v>
      </c>
      <c r="E4" s="20">
        <v>97.503093015408851</v>
      </c>
      <c r="F4" s="20"/>
      <c r="G4" s="20">
        <v>97.098189180069738</v>
      </c>
      <c r="H4" s="20">
        <f t="shared" ref="H4:H24" si="0">AVERAGE(B4:G4)</f>
        <v>94.078281408165566</v>
      </c>
      <c r="O4" s="20"/>
    </row>
    <row r="5" spans="1:21" x14ac:dyDescent="0.45">
      <c r="A5" s="20">
        <v>20</v>
      </c>
      <c r="B5" s="20">
        <v>108.03059273422562</v>
      </c>
      <c r="C5" s="20"/>
      <c r="D5" s="20">
        <v>90.48475986953099</v>
      </c>
      <c r="E5" s="20">
        <v>105.26374985940838</v>
      </c>
      <c r="F5" s="20"/>
      <c r="G5" s="20">
        <v>90.957147677426605</v>
      </c>
      <c r="H5" s="20">
        <f t="shared" si="0"/>
        <v>98.684062535147888</v>
      </c>
      <c r="O5" s="20"/>
    </row>
    <row r="6" spans="1:21" x14ac:dyDescent="0.45">
      <c r="A6" s="20">
        <v>30</v>
      </c>
      <c r="B6" s="20"/>
      <c r="C6" s="20">
        <v>82.454167135305369</v>
      </c>
      <c r="D6" s="20">
        <v>78.067708919131704</v>
      </c>
      <c r="E6" s="20">
        <v>98.920256439095709</v>
      </c>
      <c r="F6" s="20"/>
      <c r="G6" s="20">
        <v>76.785513440557864</v>
      </c>
      <c r="H6" s="20">
        <f t="shared" si="0"/>
        <v>84.056911483522654</v>
      </c>
      <c r="O6" s="20"/>
    </row>
    <row r="7" spans="1:21" x14ac:dyDescent="0.45">
      <c r="A7" s="20">
        <v>40</v>
      </c>
      <c r="B7" s="20"/>
      <c r="C7" s="20">
        <v>90.282307951861426</v>
      </c>
      <c r="D7" s="20">
        <v>103.23923068271286</v>
      </c>
      <c r="E7" s="20">
        <v>103.50916657293894</v>
      </c>
      <c r="F7" s="20"/>
      <c r="G7" s="20">
        <v>90.687211787200525</v>
      </c>
      <c r="H7" s="20">
        <f t="shared" si="0"/>
        <v>96.929479248678433</v>
      </c>
      <c r="O7" s="20"/>
    </row>
    <row r="8" spans="1:21" x14ac:dyDescent="0.45">
      <c r="A8" s="20">
        <v>50</v>
      </c>
      <c r="B8" s="20"/>
      <c r="C8" s="20">
        <v>73.006410977392861</v>
      </c>
      <c r="D8" s="20"/>
      <c r="E8" s="20">
        <v>95.343605893600269</v>
      </c>
      <c r="F8" s="20">
        <v>82.589135080418401</v>
      </c>
      <c r="G8" s="20">
        <v>86.840625351479019</v>
      </c>
      <c r="H8" s="20">
        <f t="shared" si="0"/>
        <v>84.444944325722645</v>
      </c>
      <c r="O8" s="20"/>
    </row>
    <row r="9" spans="1:21" x14ac:dyDescent="0.4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 spans="1:21" x14ac:dyDescent="0.45">
      <c r="B10" s="20">
        <v>20200514</v>
      </c>
      <c r="C10" s="20"/>
      <c r="D10" s="20"/>
      <c r="E10" s="20"/>
      <c r="F10" s="20"/>
      <c r="G10" s="20"/>
      <c r="H10" s="20"/>
    </row>
    <row r="11" spans="1:21" x14ac:dyDescent="0.45">
      <c r="A11" s="20">
        <v>0</v>
      </c>
      <c r="B11" s="20">
        <v>102.09635508111523</v>
      </c>
      <c r="C11" s="20"/>
      <c r="D11" s="20">
        <v>88.717606573495317</v>
      </c>
      <c r="E11" s="20">
        <v>103.20247208371373</v>
      </c>
      <c r="F11" s="20">
        <v>106.67883980616615</v>
      </c>
      <c r="G11" s="20">
        <v>99.30472645550951</v>
      </c>
      <c r="H11" s="20">
        <f t="shared" si="0"/>
        <v>99.999999999999986</v>
      </c>
    </row>
    <row r="12" spans="1:21" x14ac:dyDescent="0.45">
      <c r="A12" s="20">
        <v>10</v>
      </c>
      <c r="B12" s="20">
        <v>83.134349322283853</v>
      </c>
      <c r="C12" s="20"/>
      <c r="D12" s="20">
        <v>78.499192359013975</v>
      </c>
      <c r="E12" s="20">
        <v>93.036730107451362</v>
      </c>
      <c r="F12" s="20"/>
      <c r="G12" s="20">
        <v>97.77723154715919</v>
      </c>
      <c r="H12" s="20">
        <f t="shared" si="0"/>
        <v>88.111875833977095</v>
      </c>
    </row>
    <row r="13" spans="1:21" x14ac:dyDescent="0.45">
      <c r="A13" s="20">
        <v>20</v>
      </c>
      <c r="B13" s="20">
        <v>77.129714165320593</v>
      </c>
      <c r="C13" s="20">
        <v>72.389212725612737</v>
      </c>
      <c r="D13" s="20">
        <v>70.914390055481419</v>
      </c>
      <c r="E13" s="20">
        <v>76.550319544911844</v>
      </c>
      <c r="F13" s="20"/>
      <c r="G13" s="20">
        <v>86.136666900765505</v>
      </c>
      <c r="H13" s="20">
        <f t="shared" si="0"/>
        <v>76.624060678418417</v>
      </c>
    </row>
    <row r="14" spans="1:21" x14ac:dyDescent="0.45">
      <c r="A14" s="20">
        <v>30</v>
      </c>
      <c r="B14" s="20">
        <v>85.346583327480857</v>
      </c>
      <c r="C14" s="20">
        <v>82.396937987218195</v>
      </c>
      <c r="D14" s="20">
        <v>80.079359505583255</v>
      </c>
      <c r="E14" s="20">
        <v>85.451927803918807</v>
      </c>
      <c r="F14" s="20"/>
      <c r="G14" s="20"/>
      <c r="H14" s="20">
        <f t="shared" si="0"/>
        <v>83.318702156050279</v>
      </c>
    </row>
    <row r="15" spans="1:21" x14ac:dyDescent="0.45">
      <c r="A15" s="20">
        <v>40</v>
      </c>
      <c r="B15" s="20">
        <v>94.669569492239617</v>
      </c>
      <c r="C15" s="20">
        <v>83.345038275159752</v>
      </c>
      <c r="D15" s="20">
        <v>83.450382751597701</v>
      </c>
      <c r="E15" s="20"/>
      <c r="F15" s="20"/>
      <c r="G15" s="20"/>
      <c r="H15" s="20">
        <f t="shared" si="0"/>
        <v>87.154996839665685</v>
      </c>
    </row>
    <row r="16" spans="1:21" x14ac:dyDescent="0.45">
      <c r="A16" s="20">
        <v>50</v>
      </c>
      <c r="B16" s="20">
        <v>83.39771051337874</v>
      </c>
      <c r="C16" s="20">
        <v>89.138984479247128</v>
      </c>
      <c r="D16" s="20">
        <v>81.396165461057649</v>
      </c>
      <c r="E16" s="20">
        <v>81.448837699276638</v>
      </c>
      <c r="F16" s="20"/>
      <c r="G16" s="20"/>
      <c r="H16" s="20">
        <f t="shared" si="0"/>
        <v>83.845424538240039</v>
      </c>
    </row>
    <row r="17" spans="1:8" x14ac:dyDescent="0.45">
      <c r="H17" s="20"/>
    </row>
    <row r="18" spans="1:8" x14ac:dyDescent="0.45">
      <c r="B18" s="20">
        <v>20200724</v>
      </c>
      <c r="C18" s="20"/>
      <c r="D18" s="20"/>
      <c r="E18" s="20"/>
      <c r="F18" s="20"/>
      <c r="G18" s="20"/>
      <c r="H18" s="20"/>
    </row>
    <row r="19" spans="1:8" x14ac:dyDescent="0.45">
      <c r="A19" s="20">
        <v>0</v>
      </c>
      <c r="B19" s="20">
        <v>106.10640342447802</v>
      </c>
      <c r="C19" s="20"/>
      <c r="D19" s="20"/>
      <c r="E19" s="20">
        <v>97.300602778020433</v>
      </c>
      <c r="F19" s="20">
        <v>97.405433738097301</v>
      </c>
      <c r="G19" s="20">
        <v>99.187560059404206</v>
      </c>
      <c r="H19" s="20">
        <f t="shared" si="0"/>
        <v>100</v>
      </c>
    </row>
    <row r="20" spans="1:8" x14ac:dyDescent="0.45">
      <c r="A20" s="20">
        <v>10</v>
      </c>
      <c r="B20" s="20">
        <v>107.36437494540053</v>
      </c>
      <c r="C20" s="20"/>
      <c r="D20" s="20"/>
      <c r="E20" s="20">
        <v>91.53489997379225</v>
      </c>
      <c r="F20" s="20">
        <v>101.38901022101858</v>
      </c>
      <c r="G20" s="20">
        <v>89.01895693194723</v>
      </c>
      <c r="H20" s="20">
        <f t="shared" si="0"/>
        <v>97.32681051803965</v>
      </c>
    </row>
    <row r="21" spans="1:8" x14ac:dyDescent="0.45">
      <c r="A21" s="20">
        <v>20</v>
      </c>
      <c r="B21" s="20">
        <v>86.083690049794697</v>
      </c>
      <c r="C21" s="20"/>
      <c r="D21" s="20">
        <v>84.825718528872187</v>
      </c>
      <c r="E21" s="20"/>
      <c r="F21" s="20">
        <v>72.770158120031439</v>
      </c>
      <c r="G21" s="20">
        <v>83.358085087795914</v>
      </c>
      <c r="H21" s="20">
        <f t="shared" si="0"/>
        <v>81.75941294662357</v>
      </c>
    </row>
    <row r="22" spans="1:8" x14ac:dyDescent="0.45">
      <c r="A22" s="20">
        <v>30</v>
      </c>
      <c r="B22" s="20">
        <v>92.897702454791627</v>
      </c>
      <c r="C22" s="20">
        <v>89.857604612562241</v>
      </c>
      <c r="D22" s="20">
        <v>90.381759412946622</v>
      </c>
      <c r="E22" s="20">
        <v>91.430069013715382</v>
      </c>
      <c r="F22" s="20">
        <v>97.09094085786667</v>
      </c>
      <c r="G22" s="20">
        <v>88.2851402114091</v>
      </c>
      <c r="H22" s="20">
        <f t="shared" si="0"/>
        <v>91.657202760548614</v>
      </c>
    </row>
    <row r="23" spans="1:8" x14ac:dyDescent="0.45">
      <c r="A23" s="20">
        <v>40</v>
      </c>
      <c r="B23" s="20">
        <v>87.551323490870956</v>
      </c>
      <c r="C23" s="20">
        <v>85.559535249410317</v>
      </c>
      <c r="D23" s="20">
        <v>80.10832532541275</v>
      </c>
      <c r="E23" s="20">
        <v>80.946973006027761</v>
      </c>
      <c r="F23" s="20">
        <v>99.711714859788572</v>
      </c>
      <c r="G23" s="20">
        <v>89.647942692408478</v>
      </c>
      <c r="H23" s="20">
        <f t="shared" si="0"/>
        <v>87.254302437319794</v>
      </c>
    </row>
    <row r="24" spans="1:8" x14ac:dyDescent="0.45">
      <c r="A24" s="20">
        <v>50</v>
      </c>
      <c r="B24" s="20">
        <v>83.043592207565283</v>
      </c>
      <c r="C24" s="20">
        <v>86.188521009871565</v>
      </c>
      <c r="D24" s="20">
        <v>88.599633091639717</v>
      </c>
      <c r="E24" s="20">
        <v>83.043592207565283</v>
      </c>
      <c r="F24" s="20">
        <v>101.80833406132608</v>
      </c>
      <c r="G24" s="20">
        <v>104.11461518301736</v>
      </c>
      <c r="H24" s="20">
        <f t="shared" si="0"/>
        <v>91.13304796016422</v>
      </c>
    </row>
    <row r="25" spans="1:8" x14ac:dyDescent="0.45">
      <c r="A25" t="s">
        <v>10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0FBB-DD47-41AE-AACB-DCB02900E72F}">
  <dimension ref="A1:H25"/>
  <sheetViews>
    <sheetView zoomScale="70" zoomScaleNormal="70" workbookViewId="0">
      <selection activeCell="G34" sqref="G34"/>
    </sheetView>
  </sheetViews>
  <sheetFormatPr defaultRowHeight="15" x14ac:dyDescent="0.45"/>
  <sheetData>
    <row r="1" spans="1:8" x14ac:dyDescent="0.45">
      <c r="A1" s="20" t="s">
        <v>5</v>
      </c>
      <c r="B1" t="s">
        <v>8</v>
      </c>
      <c r="C1" s="20"/>
      <c r="D1" s="20"/>
      <c r="E1" s="20"/>
      <c r="F1" s="20"/>
      <c r="G1" s="20"/>
      <c r="H1" s="20"/>
    </row>
    <row r="2" spans="1:8" x14ac:dyDescent="0.45">
      <c r="A2" s="20"/>
      <c r="B2" s="20">
        <v>20200318</v>
      </c>
      <c r="C2" s="20"/>
      <c r="D2" s="20"/>
      <c r="E2" s="20"/>
      <c r="F2" s="20"/>
      <c r="G2" s="20"/>
      <c r="H2" s="20" t="s">
        <v>9</v>
      </c>
    </row>
    <row r="3" spans="1:8" x14ac:dyDescent="0.45">
      <c r="A3" s="20">
        <v>0</v>
      </c>
      <c r="B3" s="20">
        <v>94.901410774688514</v>
      </c>
      <c r="C3" s="20">
        <v>96.980447157825239</v>
      </c>
      <c r="D3" s="20"/>
      <c r="E3" s="20">
        <v>107.47463080603907</v>
      </c>
      <c r="F3" s="20">
        <v>95.00041250721884</v>
      </c>
      <c r="G3" s="20">
        <v>105.64309875422818</v>
      </c>
      <c r="H3" s="20">
        <f>AVERAGE(B3:G3)</f>
        <v>99.999999999999957</v>
      </c>
    </row>
    <row r="4" spans="1:8" x14ac:dyDescent="0.45">
      <c r="A4" s="20">
        <v>25</v>
      </c>
      <c r="B4" s="20">
        <v>82.130187278277347</v>
      </c>
      <c r="C4" s="20"/>
      <c r="D4" s="20">
        <v>72.774523554162172</v>
      </c>
      <c r="E4" s="20">
        <v>86.139757445755265</v>
      </c>
      <c r="F4" s="20">
        <v>82.278689877072821</v>
      </c>
      <c r="G4" s="20">
        <v>86.387261777081065</v>
      </c>
      <c r="H4" s="20">
        <f>AVERAGE(B4:G4)</f>
        <v>81.942083986469726</v>
      </c>
    </row>
    <row r="5" spans="1:8" x14ac:dyDescent="0.45">
      <c r="A5" s="20">
        <v>50</v>
      </c>
      <c r="B5" s="20">
        <v>81.486676016830259</v>
      </c>
      <c r="C5" s="20">
        <v>77.328603250556853</v>
      </c>
      <c r="D5" s="20">
        <v>81.486676016830259</v>
      </c>
      <c r="E5" s="20"/>
      <c r="F5" s="20">
        <v>77.081098919231067</v>
      </c>
      <c r="G5" s="20">
        <v>80.249154360201274</v>
      </c>
      <c r="H5" s="20">
        <f>AVERAGE(B5:G5)</f>
        <v>79.526441712729934</v>
      </c>
    </row>
    <row r="6" spans="1:8" x14ac:dyDescent="0.45">
      <c r="A6" s="20">
        <v>100</v>
      </c>
      <c r="B6" s="20">
        <v>64.656381486675997</v>
      </c>
      <c r="C6" s="20">
        <v>66.43841267222173</v>
      </c>
      <c r="D6" s="20">
        <v>72.131012292715084</v>
      </c>
      <c r="E6" s="20"/>
      <c r="F6" s="20">
        <v>71.883507961389299</v>
      </c>
      <c r="G6" s="20">
        <v>73.566537414404735</v>
      </c>
      <c r="H6" s="20">
        <f>AVERAGE(B6:G6)</f>
        <v>69.735170365481366</v>
      </c>
    </row>
    <row r="7" spans="1:8" x14ac:dyDescent="0.45">
      <c r="A7" s="20">
        <v>125</v>
      </c>
      <c r="B7" s="20">
        <v>74.012045210791158</v>
      </c>
      <c r="C7" s="20">
        <v>79.556142232489037</v>
      </c>
      <c r="D7" s="20">
        <v>74.210048675851795</v>
      </c>
      <c r="E7" s="20"/>
      <c r="F7" s="20">
        <v>78.120617110799401</v>
      </c>
      <c r="G7" s="20"/>
      <c r="H7" s="20">
        <f>AVERAGE(B7:G7)</f>
        <v>76.474713307482844</v>
      </c>
    </row>
    <row r="8" spans="1:8" x14ac:dyDescent="0.45">
      <c r="A8" s="20">
        <v>150</v>
      </c>
      <c r="B8" s="20">
        <v>69.061958584275203</v>
      </c>
      <c r="C8" s="20">
        <v>68.022440392706841</v>
      </c>
      <c r="D8" s="20">
        <v>77.328603250556853</v>
      </c>
      <c r="E8" s="20"/>
      <c r="F8" s="20">
        <v>69.705469845722263</v>
      </c>
      <c r="G8" s="20"/>
      <c r="H8" s="20">
        <f>AVERAGE(B8:G8)</f>
        <v>71.02961801831529</v>
      </c>
    </row>
    <row r="9" spans="1:8" x14ac:dyDescent="0.45">
      <c r="H9" s="20"/>
    </row>
    <row r="10" spans="1:8" x14ac:dyDescent="0.45">
      <c r="B10" s="20">
        <v>20200512</v>
      </c>
      <c r="C10" s="20"/>
      <c r="D10" s="20"/>
      <c r="E10" s="20"/>
      <c r="F10" s="20"/>
      <c r="G10" s="20"/>
      <c r="H10" s="20"/>
    </row>
    <row r="11" spans="1:8" x14ac:dyDescent="0.45">
      <c r="A11" s="20">
        <v>0</v>
      </c>
      <c r="B11" s="20">
        <v>100.52061198470039</v>
      </c>
      <c r="C11" s="20">
        <v>90.384615384615387</v>
      </c>
      <c r="D11" s="20">
        <v>112.25031874203144</v>
      </c>
      <c r="E11" s="20">
        <v>99.24564385890352</v>
      </c>
      <c r="F11" s="20">
        <v>102.43306417339566</v>
      </c>
      <c r="G11" s="20">
        <v>95.165745856353595</v>
      </c>
      <c r="H11" s="20">
        <f>AVERAGE(B11:G11)</f>
        <v>100</v>
      </c>
    </row>
    <row r="12" spans="1:8" x14ac:dyDescent="0.45">
      <c r="A12" s="20">
        <v>25</v>
      </c>
      <c r="B12" s="20">
        <v>85.603484912877178</v>
      </c>
      <c r="C12" s="20">
        <v>80.758606034849123</v>
      </c>
      <c r="D12" s="20"/>
      <c r="E12" s="20">
        <v>97.205694857628558</v>
      </c>
      <c r="F12" s="20">
        <v>96.56821079473012</v>
      </c>
      <c r="G12" s="20">
        <v>95.4844878878028</v>
      </c>
      <c r="H12" s="20">
        <f>AVERAGE(B12:G12)</f>
        <v>91.124096897577559</v>
      </c>
    </row>
    <row r="13" spans="1:8" x14ac:dyDescent="0.45">
      <c r="A13" s="20">
        <v>50</v>
      </c>
      <c r="B13" s="20">
        <v>93.317042073948159</v>
      </c>
      <c r="C13" s="20"/>
      <c r="D13" s="20">
        <v>91.277093072673182</v>
      </c>
      <c r="E13" s="20">
        <v>89.109647258818526</v>
      </c>
      <c r="F13" s="20">
        <v>82.543561410964728</v>
      </c>
      <c r="G13" s="20">
        <v>92.29706757331067</v>
      </c>
      <c r="H13" s="20">
        <f>AVERAGE(B13:G13)</f>
        <v>89.708882277943047</v>
      </c>
    </row>
    <row r="14" spans="1:8" x14ac:dyDescent="0.45">
      <c r="A14" s="20">
        <v>100</v>
      </c>
      <c r="B14" s="20">
        <v>65.586485337866549</v>
      </c>
      <c r="C14" s="20">
        <v>58.956651083722903</v>
      </c>
      <c r="D14" s="20"/>
      <c r="E14" s="20">
        <v>66.032724181895446</v>
      </c>
      <c r="F14" s="20">
        <v>70.431364215894604</v>
      </c>
      <c r="G14" s="20">
        <v>69.985125371865692</v>
      </c>
      <c r="H14" s="20">
        <f>AVERAGE(B14:G14)</f>
        <v>66.198470038249042</v>
      </c>
    </row>
    <row r="15" spans="1:8" x14ac:dyDescent="0.45">
      <c r="A15" s="20">
        <v>125</v>
      </c>
      <c r="B15" s="20">
        <v>75.594985125371863</v>
      </c>
      <c r="C15" s="20">
        <v>60.040373990650231</v>
      </c>
      <c r="D15" s="20">
        <v>65.586485337866549</v>
      </c>
      <c r="E15" s="20">
        <v>75.084997875053119</v>
      </c>
      <c r="F15" s="20">
        <v>65.203994900127498</v>
      </c>
      <c r="G15" s="20">
        <v>74.128771780705478</v>
      </c>
      <c r="H15" s="20">
        <f>AVERAGE(B15:G15)</f>
        <v>69.273268168295786</v>
      </c>
    </row>
    <row r="16" spans="1:8" x14ac:dyDescent="0.45">
      <c r="A16" s="20">
        <v>150</v>
      </c>
      <c r="B16" s="20">
        <v>58.064173395665108</v>
      </c>
      <c r="C16" s="20">
        <v>46.015724606884831</v>
      </c>
      <c r="D16" s="20">
        <v>56.98045048873778</v>
      </c>
      <c r="E16" s="20">
        <v>61.50658733531661</v>
      </c>
      <c r="F16" s="20">
        <v>53.028049298767534</v>
      </c>
      <c r="G16" s="20">
        <v>59.530386740331487</v>
      </c>
      <c r="H16" s="20">
        <f>AVERAGE(B16:G16)</f>
        <v>55.854228644283893</v>
      </c>
    </row>
    <row r="17" spans="1:8" x14ac:dyDescent="0.45">
      <c r="H17" s="20"/>
    </row>
    <row r="18" spans="1:8" x14ac:dyDescent="0.45">
      <c r="B18" s="20">
        <v>20200514</v>
      </c>
      <c r="C18" s="20"/>
      <c r="D18" s="20"/>
      <c r="E18" s="20"/>
      <c r="F18" s="20"/>
      <c r="G18" s="20"/>
      <c r="H18" s="20"/>
    </row>
    <row r="19" spans="1:8" x14ac:dyDescent="0.45">
      <c r="A19" s="20">
        <v>0</v>
      </c>
      <c r="B19" s="20">
        <v>88.374376339992381</v>
      </c>
      <c r="C19" s="20">
        <v>104.42422906606288</v>
      </c>
      <c r="D19" s="20">
        <v>104.6045644899513</v>
      </c>
      <c r="E19" s="20"/>
      <c r="F19" s="20">
        <v>93.063097361091621</v>
      </c>
      <c r="G19" s="20">
        <v>109.53373274290179</v>
      </c>
      <c r="H19" s="20">
        <f>AVERAGE(B19:G19)</f>
        <v>99.999999999999986</v>
      </c>
    </row>
    <row r="20" spans="1:8" x14ac:dyDescent="0.45">
      <c r="A20" s="20">
        <v>25</v>
      </c>
      <c r="B20" s="20">
        <v>92.522091089426326</v>
      </c>
      <c r="C20" s="20">
        <v>98.833830925521454</v>
      </c>
      <c r="D20" s="20">
        <v>88.07381730017832</v>
      </c>
      <c r="E20" s="20">
        <v>94.806339792013134</v>
      </c>
      <c r="F20" s="20"/>
      <c r="G20" s="20">
        <v>99.79561985292645</v>
      </c>
      <c r="H20" s="20">
        <f>AVERAGE(B20:G20)</f>
        <v>94.806339792013134</v>
      </c>
    </row>
    <row r="21" spans="1:8" x14ac:dyDescent="0.45">
      <c r="A21" s="20">
        <v>50</v>
      </c>
      <c r="B21" s="20">
        <v>70.400945759111949</v>
      </c>
      <c r="C21" s="20"/>
      <c r="D21" s="20">
        <v>72.625082653735944</v>
      </c>
      <c r="E21" s="20">
        <v>80.80028853667821</v>
      </c>
      <c r="F21" s="20">
        <v>82.242971927785675</v>
      </c>
      <c r="G21" s="20">
        <v>85.669344981665887</v>
      </c>
      <c r="H21" s="20">
        <f>AVERAGE(B21:G21)</f>
        <v>78.347726771795536</v>
      </c>
    </row>
    <row r="22" spans="1:8" x14ac:dyDescent="0.45">
      <c r="A22" s="20">
        <v>100</v>
      </c>
      <c r="B22" s="20">
        <v>65.050994850421787</v>
      </c>
      <c r="C22" s="20">
        <v>84.887891478149356</v>
      </c>
      <c r="D22" s="20">
        <v>70.400945759111949</v>
      </c>
      <c r="E22" s="20">
        <v>77.794698138537683</v>
      </c>
      <c r="F22" s="20">
        <v>75.209890396136814</v>
      </c>
      <c r="G22" s="20">
        <v>77.373915482798012</v>
      </c>
      <c r="H22" s="20">
        <f>AVERAGE(B22:G22)</f>
        <v>75.119722684192595</v>
      </c>
    </row>
    <row r="23" spans="1:8" x14ac:dyDescent="0.45">
      <c r="A23" s="20">
        <v>125</v>
      </c>
      <c r="B23" s="20">
        <v>71.963852766145024</v>
      </c>
      <c r="C23" s="20">
        <v>73.827318812992161</v>
      </c>
      <c r="D23" s="20"/>
      <c r="E23" s="20"/>
      <c r="F23" s="20">
        <v>83.565431702967516</v>
      </c>
      <c r="G23" s="20">
        <v>75.149778588174001</v>
      </c>
      <c r="H23" s="20">
        <f>AVERAGE(B23:G23)</f>
        <v>76.126595467569672</v>
      </c>
    </row>
    <row r="24" spans="1:8" x14ac:dyDescent="0.45">
      <c r="A24" s="20">
        <v>150</v>
      </c>
      <c r="B24" s="20">
        <v>55.312881960446425</v>
      </c>
      <c r="C24" s="20">
        <v>53.870198569338967</v>
      </c>
      <c r="D24" s="20"/>
      <c r="E24" s="20">
        <v>64.389764962830867</v>
      </c>
      <c r="F24" s="20">
        <v>57.476907047107609</v>
      </c>
      <c r="G24" s="20">
        <v>60.242050213396915</v>
      </c>
      <c r="H24" s="20">
        <f>AVERAGE(B24:G24)</f>
        <v>58.258360550624161</v>
      </c>
    </row>
    <row r="25" spans="1:8" x14ac:dyDescent="0.45">
      <c r="A25" t="s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DB40-B5E5-4BA6-80C9-64EA61BD3011}">
  <dimension ref="A1:S25"/>
  <sheetViews>
    <sheetView zoomScale="85" zoomScaleNormal="85" workbookViewId="0">
      <selection activeCell="B1" sqref="B1"/>
    </sheetView>
  </sheetViews>
  <sheetFormatPr defaultRowHeight="15" x14ac:dyDescent="0.45"/>
  <sheetData>
    <row r="1" spans="1:19" x14ac:dyDescent="0.45">
      <c r="A1" s="20" t="s">
        <v>6</v>
      </c>
      <c r="B1" t="s">
        <v>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x14ac:dyDescent="0.45">
      <c r="A2" s="20"/>
      <c r="B2" s="20">
        <v>20200507</v>
      </c>
      <c r="C2" s="20"/>
      <c r="D2" s="20"/>
      <c r="E2" s="20"/>
      <c r="F2" s="20"/>
      <c r="G2" s="20"/>
      <c r="H2" s="20" t="s">
        <v>9</v>
      </c>
      <c r="O2" s="20"/>
    </row>
    <row r="3" spans="1:19" x14ac:dyDescent="0.45">
      <c r="A3" s="20">
        <v>0</v>
      </c>
      <c r="B3" s="20"/>
      <c r="C3" s="20">
        <v>92.583479789103677</v>
      </c>
      <c r="D3" s="20">
        <v>109.24428822495604</v>
      </c>
      <c r="E3" s="20">
        <v>95.254833040421786</v>
      </c>
      <c r="F3" s="20"/>
      <c r="G3" s="20">
        <v>102.91739894551843</v>
      </c>
      <c r="H3" s="20">
        <f>AVERAGE(B3:G3)</f>
        <v>99.999999999999972</v>
      </c>
      <c r="O3" s="20"/>
    </row>
    <row r="4" spans="1:19" x14ac:dyDescent="0.45">
      <c r="A4" s="20">
        <v>10</v>
      </c>
      <c r="B4" s="20"/>
      <c r="C4" s="20">
        <v>104.60456942003513</v>
      </c>
      <c r="D4" s="20">
        <v>103.47978910369066</v>
      </c>
      <c r="E4" s="20"/>
      <c r="F4" s="20">
        <v>90.82601054481546</v>
      </c>
      <c r="G4" s="20"/>
      <c r="H4" s="20">
        <f t="shared" ref="H4:H24" si="0">AVERAGE(B4:G4)</f>
        <v>99.636789689513762</v>
      </c>
      <c r="O4" s="20"/>
    </row>
    <row r="5" spans="1:19" x14ac:dyDescent="0.45">
      <c r="A5" s="20">
        <v>20</v>
      </c>
      <c r="B5" s="20">
        <v>109.10369068541299</v>
      </c>
      <c r="C5" s="20">
        <v>106.99472759226714</v>
      </c>
      <c r="D5" s="20"/>
      <c r="E5" s="20"/>
      <c r="F5" s="20"/>
      <c r="G5" s="20">
        <v>115.50087873462213</v>
      </c>
      <c r="H5" s="20">
        <f t="shared" si="0"/>
        <v>110.53309900410075</v>
      </c>
      <c r="O5" s="20"/>
    </row>
    <row r="6" spans="1:19" x14ac:dyDescent="0.45">
      <c r="A6" s="20">
        <v>30</v>
      </c>
      <c r="B6" s="20">
        <v>103.69068541300526</v>
      </c>
      <c r="C6" s="20">
        <v>95.746924428822481</v>
      </c>
      <c r="D6" s="20">
        <v>88.224956063268877</v>
      </c>
      <c r="E6" s="20"/>
      <c r="F6" s="20">
        <v>85.623901581722322</v>
      </c>
      <c r="G6" s="20">
        <v>94.270650263620382</v>
      </c>
      <c r="H6" s="20">
        <f t="shared" si="0"/>
        <v>93.511423550087855</v>
      </c>
      <c r="O6" s="20"/>
    </row>
    <row r="7" spans="1:19" x14ac:dyDescent="0.45">
      <c r="A7" s="20">
        <v>40</v>
      </c>
      <c r="B7" s="20"/>
      <c r="C7" s="20">
        <v>75.219683655536002</v>
      </c>
      <c r="D7" s="20">
        <v>88.084358523725825</v>
      </c>
      <c r="E7" s="20">
        <v>74.868189806678373</v>
      </c>
      <c r="F7" s="20">
        <v>92.161687170474508</v>
      </c>
      <c r="G7" s="20">
        <v>84.991212653778547</v>
      </c>
      <c r="H7" s="20">
        <f t="shared" si="0"/>
        <v>83.065026362038651</v>
      </c>
      <c r="O7" s="20"/>
    </row>
    <row r="8" spans="1:19" x14ac:dyDescent="0.45">
      <c r="A8" s="20">
        <v>50</v>
      </c>
      <c r="B8" s="20">
        <v>71.21265377855886</v>
      </c>
      <c r="C8" s="20">
        <v>72.899824253075565</v>
      </c>
      <c r="D8" s="20">
        <v>65.588752196836538</v>
      </c>
      <c r="E8" s="20">
        <v>67.908611599297004</v>
      </c>
      <c r="F8" s="20">
        <v>64.534270650263608</v>
      </c>
      <c r="G8" s="20"/>
      <c r="H8" s="20">
        <f t="shared" si="0"/>
        <v>68.428822495606326</v>
      </c>
      <c r="O8" s="20"/>
    </row>
    <row r="9" spans="1:19" x14ac:dyDescent="0.45">
      <c r="H9" s="20"/>
    </row>
    <row r="10" spans="1:19" x14ac:dyDescent="0.45">
      <c r="B10" s="20">
        <v>20200604</v>
      </c>
      <c r="C10" s="20"/>
      <c r="D10" s="20"/>
      <c r="E10" s="20"/>
      <c r="F10" s="20"/>
      <c r="G10" s="20"/>
      <c r="H10" s="20"/>
    </row>
    <row r="11" spans="1:19" x14ac:dyDescent="0.45">
      <c r="A11" s="20">
        <v>0</v>
      </c>
      <c r="B11" s="20">
        <v>100.60544904137234</v>
      </c>
      <c r="C11" s="20">
        <v>95.242900389217226</v>
      </c>
      <c r="D11" s="20"/>
      <c r="E11" s="20">
        <v>102.2488107250973</v>
      </c>
      <c r="F11" s="20"/>
      <c r="G11" s="20">
        <v>101.90283984431309</v>
      </c>
      <c r="H11" s="20">
        <f t="shared" si="0"/>
        <v>100</v>
      </c>
    </row>
    <row r="12" spans="1:19" x14ac:dyDescent="0.45">
      <c r="A12" s="20">
        <v>10</v>
      </c>
      <c r="B12" s="20"/>
      <c r="C12" s="20">
        <v>99.04858007784344</v>
      </c>
      <c r="D12" s="20">
        <v>99.481043678823696</v>
      </c>
      <c r="E12" s="20">
        <v>101.81634712411704</v>
      </c>
      <c r="F12" s="20"/>
      <c r="G12" s="20">
        <v>103.54620152803804</v>
      </c>
      <c r="H12" s="20">
        <f t="shared" si="0"/>
        <v>100.97304310220557</v>
      </c>
    </row>
    <row r="13" spans="1:19" x14ac:dyDescent="0.45">
      <c r="A13" s="20">
        <v>20</v>
      </c>
      <c r="B13" s="20">
        <v>94.810436788236984</v>
      </c>
      <c r="C13" s="20">
        <v>93.599538705492279</v>
      </c>
      <c r="D13" s="20"/>
      <c r="E13" s="20">
        <v>97.232232953726395</v>
      </c>
      <c r="F13" s="20">
        <v>97.232232953726395</v>
      </c>
      <c r="G13" s="20">
        <v>87.28557013118062</v>
      </c>
      <c r="H13" s="20">
        <f t="shared" si="0"/>
        <v>94.032002306472549</v>
      </c>
    </row>
    <row r="14" spans="1:19" x14ac:dyDescent="0.45">
      <c r="A14" s="20">
        <v>30</v>
      </c>
      <c r="B14" s="20">
        <v>80.020181634712401</v>
      </c>
      <c r="C14" s="20"/>
      <c r="D14" s="20">
        <v>82.441977800201812</v>
      </c>
      <c r="E14" s="20">
        <v>79.674210753928207</v>
      </c>
      <c r="F14" s="20">
        <v>90.74527893902264</v>
      </c>
      <c r="G14" s="20">
        <v>83.30690500216231</v>
      </c>
      <c r="H14" s="20">
        <f t="shared" si="0"/>
        <v>83.237710826005468</v>
      </c>
    </row>
    <row r="15" spans="1:19" x14ac:dyDescent="0.45">
      <c r="A15" s="20">
        <v>40</v>
      </c>
      <c r="B15" s="20">
        <v>78.982268992359806</v>
      </c>
      <c r="C15" s="20">
        <v>77.771370909615101</v>
      </c>
      <c r="D15" s="20">
        <v>77.165921868242748</v>
      </c>
      <c r="E15" s="20">
        <v>75.955023785498057</v>
      </c>
      <c r="F15" s="20">
        <v>73.533227620008645</v>
      </c>
      <c r="G15" s="20">
        <v>69.727547931382432</v>
      </c>
      <c r="H15" s="20">
        <f t="shared" si="0"/>
        <v>75.522560184517801</v>
      </c>
    </row>
    <row r="16" spans="1:19" x14ac:dyDescent="0.45">
      <c r="A16" s="20">
        <v>50</v>
      </c>
      <c r="B16" s="20">
        <v>60.645812310797176</v>
      </c>
      <c r="C16" s="20">
        <v>59.867377829032719</v>
      </c>
      <c r="D16" s="20">
        <v>70.851953293931089</v>
      </c>
      <c r="E16" s="20">
        <v>67.911200807265388</v>
      </c>
      <c r="F16" s="20">
        <v>58.656479746288014</v>
      </c>
      <c r="G16" s="20">
        <v>57.35908894334726</v>
      </c>
      <c r="H16" s="20">
        <f t="shared" si="0"/>
        <v>62.548652155110283</v>
      </c>
    </row>
    <row r="17" spans="1:8" x14ac:dyDescent="0.45">
      <c r="H17" s="20"/>
    </row>
    <row r="18" spans="1:8" x14ac:dyDescent="0.45">
      <c r="B18" s="20">
        <v>20200612</v>
      </c>
      <c r="C18" s="20"/>
      <c r="D18" s="20"/>
      <c r="E18" s="20"/>
      <c r="H18" s="20"/>
    </row>
    <row r="19" spans="1:8" x14ac:dyDescent="0.45">
      <c r="A19" s="20">
        <v>0</v>
      </c>
      <c r="B19" s="20">
        <v>113.97961850013067</v>
      </c>
      <c r="C19" s="20">
        <v>106.45414162529401</v>
      </c>
      <c r="D19" s="20">
        <v>92.65743402142671</v>
      </c>
      <c r="E19" s="20">
        <v>86.908805853148692</v>
      </c>
      <c r="H19" s="20">
        <f t="shared" si="0"/>
        <v>100.00000000000001</v>
      </c>
    </row>
    <row r="20" spans="1:8" x14ac:dyDescent="0.45">
      <c r="A20" s="20">
        <v>10</v>
      </c>
      <c r="B20" s="20">
        <v>103.00496472432717</v>
      </c>
      <c r="C20" s="20">
        <v>100.18291089626341</v>
      </c>
      <c r="D20" s="20">
        <v>110.73948262346489</v>
      </c>
      <c r="E20" s="20"/>
      <c r="H20" s="20">
        <f t="shared" si="0"/>
        <v>104.6424527480185</v>
      </c>
    </row>
    <row r="21" spans="1:8" x14ac:dyDescent="0.45">
      <c r="A21" s="20">
        <v>20</v>
      </c>
      <c r="B21" s="20">
        <v>89.208257120459905</v>
      </c>
      <c r="C21" s="20">
        <v>91.194146851319573</v>
      </c>
      <c r="D21" s="20">
        <v>100.60099294486544</v>
      </c>
      <c r="E21" s="20"/>
      <c r="H21" s="20">
        <f t="shared" si="0"/>
        <v>93.667798972214982</v>
      </c>
    </row>
    <row r="22" spans="1:8" x14ac:dyDescent="0.45">
      <c r="A22" s="20">
        <v>30</v>
      </c>
      <c r="B22" s="20">
        <v>95.165926313038938</v>
      </c>
      <c r="C22" s="20">
        <v>82.309903318526267</v>
      </c>
      <c r="D22" s="20">
        <v>86.386203292396146</v>
      </c>
      <c r="E22" s="20"/>
      <c r="H22" s="20">
        <f t="shared" si="0"/>
        <v>87.954010974653784</v>
      </c>
    </row>
    <row r="23" spans="1:8" x14ac:dyDescent="0.45">
      <c r="A23" s="20">
        <v>40</v>
      </c>
      <c r="B23" s="20">
        <v>86.699764828847663</v>
      </c>
      <c r="C23" s="20">
        <v>99.346746799059332</v>
      </c>
      <c r="D23" s="20">
        <v>81.996341782074751</v>
      </c>
      <c r="E23" s="20"/>
      <c r="H23" s="20">
        <f t="shared" si="0"/>
        <v>89.347617803327239</v>
      </c>
    </row>
    <row r="24" spans="1:8" x14ac:dyDescent="0.45">
      <c r="A24" s="20">
        <v>50</v>
      </c>
      <c r="B24" s="20">
        <v>55.866213744447357</v>
      </c>
      <c r="C24" s="20">
        <v>77.501959759602826</v>
      </c>
      <c r="D24" s="20">
        <v>69.140318787562066</v>
      </c>
      <c r="E24" s="20"/>
      <c r="H24" s="20">
        <f t="shared" si="0"/>
        <v>67.502830763870747</v>
      </c>
    </row>
    <row r="25" spans="1:8" x14ac:dyDescent="0.45">
      <c r="A25" t="s">
        <v>10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3464-90CE-4F47-93F0-E204961E6A09}">
  <dimension ref="A1:U25"/>
  <sheetViews>
    <sheetView tabSelected="1" zoomScale="70" zoomScaleNormal="70" workbookViewId="0">
      <selection activeCell="M34" sqref="M34"/>
    </sheetView>
  </sheetViews>
  <sheetFormatPr defaultRowHeight="15" x14ac:dyDescent="0.45"/>
  <sheetData>
    <row r="1" spans="1:21" x14ac:dyDescent="0.45">
      <c r="A1" s="20" t="s">
        <v>7</v>
      </c>
      <c r="B1" t="s">
        <v>8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45">
      <c r="A2" s="20"/>
      <c r="B2" s="20">
        <v>20200724</v>
      </c>
      <c r="C2" s="20"/>
      <c r="D2" s="20"/>
      <c r="E2" s="20"/>
      <c r="F2" s="20"/>
      <c r="G2" s="20"/>
      <c r="H2" s="20" t="s">
        <v>9</v>
      </c>
      <c r="O2" s="20"/>
    </row>
    <row r="3" spans="1:21" x14ac:dyDescent="0.45">
      <c r="A3" s="20">
        <v>0</v>
      </c>
      <c r="B3" s="20">
        <v>110.19538188277085</v>
      </c>
      <c r="C3" s="20">
        <v>101.7761989342806</v>
      </c>
      <c r="D3" s="20">
        <v>98.898756660745974</v>
      </c>
      <c r="E3" s="20">
        <v>99.218472468916488</v>
      </c>
      <c r="F3" s="20">
        <v>96.98046181172289</v>
      </c>
      <c r="G3" s="20">
        <v>92.930728241563031</v>
      </c>
      <c r="H3" s="20">
        <f>AVERAGE(B3:G3)</f>
        <v>99.999999999999957</v>
      </c>
      <c r="O3" s="20"/>
    </row>
    <row r="4" spans="1:21" x14ac:dyDescent="0.45">
      <c r="A4" s="20">
        <v>10</v>
      </c>
      <c r="B4" s="20">
        <v>84.618117229129652</v>
      </c>
      <c r="C4" s="20">
        <v>102.62877442273532</v>
      </c>
      <c r="D4" s="20">
        <v>96.873889875666066</v>
      </c>
      <c r="E4" s="20">
        <v>88.454706927175835</v>
      </c>
      <c r="F4" s="20">
        <v>87.069271758436926</v>
      </c>
      <c r="G4" s="20">
        <v>85.683836589698032</v>
      </c>
      <c r="H4" s="20">
        <f t="shared" ref="H4:H24" si="0">AVERAGE(B4:G4)</f>
        <v>90.888099467140307</v>
      </c>
      <c r="O4" s="20"/>
    </row>
    <row r="5" spans="1:21" x14ac:dyDescent="0.45">
      <c r="A5" s="20">
        <v>20</v>
      </c>
      <c r="B5" s="20">
        <v>80.781527531083469</v>
      </c>
      <c r="C5" s="20">
        <v>97.619893428063918</v>
      </c>
      <c r="D5" s="20">
        <v>87.708703374777969</v>
      </c>
      <c r="E5" s="20"/>
      <c r="F5" s="20">
        <v>94.742451154529292</v>
      </c>
      <c r="G5" s="20">
        <v>85.470692717584356</v>
      </c>
      <c r="H5" s="20">
        <f t="shared" si="0"/>
        <v>89.264653641207801</v>
      </c>
      <c r="O5" s="20"/>
    </row>
    <row r="6" spans="1:21" x14ac:dyDescent="0.45">
      <c r="A6" s="20">
        <v>30</v>
      </c>
      <c r="B6" s="20">
        <v>88.667850799289511</v>
      </c>
      <c r="C6" s="20">
        <v>97.513321492007094</v>
      </c>
      <c r="D6" s="20">
        <v>96.98046181172289</v>
      </c>
      <c r="E6" s="20">
        <v>85.364120781527504</v>
      </c>
      <c r="F6" s="20"/>
      <c r="G6" s="20">
        <v>80.781527531083469</v>
      </c>
      <c r="H6" s="20">
        <f t="shared" si="0"/>
        <v>89.861456483126091</v>
      </c>
      <c r="O6" s="20"/>
    </row>
    <row r="7" spans="1:21" x14ac:dyDescent="0.45">
      <c r="A7" s="20">
        <v>40</v>
      </c>
      <c r="B7" s="20">
        <v>87.282415630550602</v>
      </c>
      <c r="C7" s="20">
        <v>94.84902309058613</v>
      </c>
      <c r="D7" s="20"/>
      <c r="E7" s="20">
        <v>82.06039076376554</v>
      </c>
      <c r="F7" s="20">
        <v>70.124333925399625</v>
      </c>
      <c r="G7" s="20">
        <v>80.142095914742441</v>
      </c>
      <c r="H7" s="20">
        <f t="shared" si="0"/>
        <v>82.891651865008868</v>
      </c>
      <c r="O7" s="20"/>
    </row>
    <row r="8" spans="1:21" x14ac:dyDescent="0.45">
      <c r="A8" s="20">
        <v>50</v>
      </c>
      <c r="B8" s="20">
        <v>84.937833037300152</v>
      </c>
      <c r="C8" s="20"/>
      <c r="D8" s="20">
        <v>78.650088809946709</v>
      </c>
      <c r="E8" s="20">
        <v>86.429840142095898</v>
      </c>
      <c r="F8" s="20">
        <v>78.756660746003547</v>
      </c>
      <c r="G8" s="20">
        <v>90.479573712255757</v>
      </c>
      <c r="H8" s="20">
        <f t="shared" si="0"/>
        <v>83.85079928952041</v>
      </c>
      <c r="O8" s="20"/>
    </row>
    <row r="9" spans="1:21" x14ac:dyDescent="0.45">
      <c r="H9" s="20"/>
    </row>
    <row r="10" spans="1:21" x14ac:dyDescent="0.45">
      <c r="B10" s="20">
        <v>20200725</v>
      </c>
      <c r="C10" s="20"/>
      <c r="D10" s="20"/>
      <c r="E10" s="20"/>
      <c r="F10" s="20"/>
      <c r="G10" s="20"/>
      <c r="H10" s="20"/>
    </row>
    <row r="11" spans="1:21" x14ac:dyDescent="0.45">
      <c r="A11" s="20">
        <v>0</v>
      </c>
      <c r="B11" s="20">
        <v>95.022742040285891</v>
      </c>
      <c r="C11" s="20">
        <v>95.256660168940854</v>
      </c>
      <c r="D11" s="20">
        <v>106.17283950617285</v>
      </c>
      <c r="E11" s="20">
        <v>97.517868745938912</v>
      </c>
      <c r="F11" s="20">
        <v>102.27420402858998</v>
      </c>
      <c r="G11" s="20">
        <v>103.75568551007146</v>
      </c>
      <c r="H11" s="20">
        <f t="shared" si="0"/>
        <v>100</v>
      </c>
    </row>
    <row r="12" spans="1:21" x14ac:dyDescent="0.45">
      <c r="A12" s="20">
        <v>10</v>
      </c>
      <c r="B12" s="20">
        <v>87.381416504223509</v>
      </c>
      <c r="C12" s="20">
        <v>90.266406757634826</v>
      </c>
      <c r="D12" s="20">
        <v>93.931124106562706</v>
      </c>
      <c r="E12" s="20">
        <v>96.504223521767372</v>
      </c>
      <c r="F12" s="20">
        <v>100.09096816114358</v>
      </c>
      <c r="G12" s="20">
        <v>100.94866796621183</v>
      </c>
      <c r="H12" s="20">
        <f t="shared" si="0"/>
        <v>94.853801169590625</v>
      </c>
    </row>
    <row r="13" spans="1:21" x14ac:dyDescent="0.45">
      <c r="A13" s="20">
        <v>20</v>
      </c>
      <c r="B13" s="20">
        <v>85.821962313190369</v>
      </c>
      <c r="C13" s="20">
        <v>85.432098765432102</v>
      </c>
      <c r="D13" s="20">
        <v>96.426250812215713</v>
      </c>
      <c r="E13" s="20">
        <v>88.862897985705004</v>
      </c>
      <c r="F13" s="20">
        <v>94.320987654320973</v>
      </c>
      <c r="G13" s="20">
        <v>87.693307342430131</v>
      </c>
      <c r="H13" s="20">
        <f t="shared" si="0"/>
        <v>89.759584145549056</v>
      </c>
    </row>
    <row r="14" spans="1:21" x14ac:dyDescent="0.45">
      <c r="A14" s="20">
        <v>30</v>
      </c>
      <c r="B14" s="20">
        <v>86.679662118258605</v>
      </c>
      <c r="C14" s="20">
        <v>94.944769330734218</v>
      </c>
      <c r="D14" s="20">
        <v>89.174788823911626</v>
      </c>
      <c r="E14" s="20">
        <v>81.92332683560754</v>
      </c>
      <c r="F14" s="20">
        <v>95.490578297595846</v>
      </c>
      <c r="G14" s="20">
        <v>84.184535412605584</v>
      </c>
      <c r="H14" s="20">
        <f t="shared" si="0"/>
        <v>88.732943469785582</v>
      </c>
    </row>
    <row r="15" spans="1:21" x14ac:dyDescent="0.45">
      <c r="A15" s="20">
        <v>40</v>
      </c>
      <c r="B15" s="20">
        <v>88.628979857050027</v>
      </c>
      <c r="C15" s="20">
        <v>82.547108512020799</v>
      </c>
      <c r="D15" s="20">
        <v>83.48278102664068</v>
      </c>
      <c r="E15" s="20">
        <v>72.0207927225471</v>
      </c>
      <c r="F15" s="20">
        <v>84.262508122157229</v>
      </c>
      <c r="G15" s="20">
        <v>84.886289798570488</v>
      </c>
      <c r="H15" s="20">
        <f t="shared" si="0"/>
        <v>82.638076673164392</v>
      </c>
    </row>
    <row r="16" spans="1:21" x14ac:dyDescent="0.45">
      <c r="A16" s="20">
        <v>50</v>
      </c>
      <c r="B16" s="20">
        <v>85.354126055880428</v>
      </c>
      <c r="C16" s="20"/>
      <c r="D16" s="20">
        <v>80.83170890188434</v>
      </c>
      <c r="E16" s="20"/>
      <c r="F16" s="20"/>
      <c r="G16" s="20">
        <v>87.771280051981805</v>
      </c>
      <c r="H16" s="20">
        <f t="shared" si="0"/>
        <v>84.652371669915524</v>
      </c>
    </row>
    <row r="17" spans="1:8" x14ac:dyDescent="0.45">
      <c r="H17" s="20"/>
    </row>
    <row r="18" spans="1:8" x14ac:dyDescent="0.45">
      <c r="B18" s="20">
        <v>20200813</v>
      </c>
      <c r="C18" s="20"/>
      <c r="D18" s="20"/>
      <c r="E18" s="20"/>
      <c r="F18" s="20"/>
      <c r="G18" s="20"/>
      <c r="H18" s="20"/>
    </row>
    <row r="19" spans="1:8" x14ac:dyDescent="0.45">
      <c r="A19" s="20">
        <v>0</v>
      </c>
      <c r="B19" s="20">
        <v>105.26072485207101</v>
      </c>
      <c r="C19" s="20">
        <v>89.672707100591722</v>
      </c>
      <c r="D19" s="20">
        <v>92.890162721893503</v>
      </c>
      <c r="E19" s="20">
        <v>101.4330621301775</v>
      </c>
      <c r="F19" s="20">
        <v>109.19933431952661</v>
      </c>
      <c r="G19" s="20">
        <v>101.54400887573965</v>
      </c>
      <c r="H19" s="20">
        <f t="shared" si="0"/>
        <v>100</v>
      </c>
    </row>
    <row r="20" spans="1:8" x14ac:dyDescent="0.45">
      <c r="A20" s="20">
        <v>10</v>
      </c>
      <c r="B20" s="20">
        <v>91.947115384615401</v>
      </c>
      <c r="C20" s="20">
        <v>89.284393491124263</v>
      </c>
      <c r="D20" s="20">
        <v>91.891642011834335</v>
      </c>
      <c r="E20" s="20">
        <v>98.215606508875752</v>
      </c>
      <c r="F20" s="20">
        <v>102.15421597633136</v>
      </c>
      <c r="G20" s="20">
        <v>95.109097633136102</v>
      </c>
      <c r="H20" s="20">
        <f t="shared" si="0"/>
        <v>94.767011834319533</v>
      </c>
    </row>
    <row r="21" spans="1:8" x14ac:dyDescent="0.45">
      <c r="A21" s="20">
        <v>20</v>
      </c>
      <c r="B21" s="20"/>
      <c r="C21" s="20">
        <v>85.845044378698233</v>
      </c>
      <c r="D21" s="20">
        <v>106.03735207100593</v>
      </c>
      <c r="E21" s="20">
        <v>97.827292899408292</v>
      </c>
      <c r="F21" s="20"/>
      <c r="G21" s="20">
        <v>87.620192307692307</v>
      </c>
      <c r="H21" s="20">
        <f t="shared" si="0"/>
        <v>94.332470414201197</v>
      </c>
    </row>
    <row r="22" spans="1:8" x14ac:dyDescent="0.45">
      <c r="A22" s="20">
        <v>30</v>
      </c>
      <c r="B22" s="20">
        <v>89.007026627218934</v>
      </c>
      <c r="C22" s="20">
        <v>71.532914201183445</v>
      </c>
      <c r="D22" s="20">
        <v>83.848002958579883</v>
      </c>
      <c r="E22" s="20">
        <v>83.792529585798832</v>
      </c>
      <c r="F22" s="20">
        <v>85.456730769230788</v>
      </c>
      <c r="G22" s="20">
        <v>80.131286982248525</v>
      </c>
      <c r="H22" s="20">
        <f t="shared" si="0"/>
        <v>82.294748520710058</v>
      </c>
    </row>
    <row r="23" spans="1:8" x14ac:dyDescent="0.45">
      <c r="A23" s="20">
        <v>40</v>
      </c>
      <c r="B23" s="20">
        <v>71.311020710059168</v>
      </c>
      <c r="C23" s="20">
        <v>73.751849112426044</v>
      </c>
      <c r="D23" s="20"/>
      <c r="E23" s="20">
        <v>77.246671597633139</v>
      </c>
      <c r="F23" s="20"/>
      <c r="G23" s="20">
        <v>75.748890532544394</v>
      </c>
      <c r="H23" s="20">
        <f t="shared" si="0"/>
        <v>74.514607988165679</v>
      </c>
    </row>
    <row r="24" spans="1:8" x14ac:dyDescent="0.45">
      <c r="A24" s="20">
        <v>50</v>
      </c>
      <c r="B24" s="20">
        <v>67.760724852071007</v>
      </c>
      <c r="C24" s="20">
        <v>76.858357988165693</v>
      </c>
      <c r="D24" s="20">
        <v>72.531434911242613</v>
      </c>
      <c r="E24" s="20">
        <v>69.147559171597635</v>
      </c>
      <c r="F24" s="20">
        <v>61.936020710059168</v>
      </c>
      <c r="G24" s="20">
        <v>64.987056213017752</v>
      </c>
      <c r="H24" s="20">
        <f t="shared" si="0"/>
        <v>68.870192307692307</v>
      </c>
    </row>
    <row r="25" spans="1:8" x14ac:dyDescent="0.45">
      <c r="A25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MTT</vt:lpstr>
      <vt:lpstr>raw data CRE</vt:lpstr>
      <vt:lpstr>raw data FEE</vt:lpstr>
      <vt:lpstr>raw data IAE</vt:lpstr>
      <vt:lpstr>raw data RPE</vt:lpstr>
      <vt:lpstr>raw data 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2026-03-05T06:27:03Z</dcterms:modified>
</cp:coreProperties>
</file>